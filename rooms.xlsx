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hmbw1.canon.jp/docs/User/えんゆう/生活支援室/事務所業務日誌・面会票/"/>
    </mc:Choice>
  </mc:AlternateContent>
  <xr:revisionPtr revIDLastSave="0" documentId="13_ncr:40000001_{C51417E1-7237-4311-82F4-C97711A19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6" i="1" l="1"/>
  <c r="U65" i="1"/>
  <c r="U64" i="1"/>
  <c r="U63" i="1"/>
  <c r="U62" i="1"/>
  <c r="U61" i="1"/>
  <c r="U32" i="1"/>
  <c r="U31" i="1"/>
  <c r="U30" i="1"/>
  <c r="U29" i="1"/>
  <c r="U27" i="1"/>
</calcChain>
</file>

<file path=xl/sharedStrings.xml><?xml version="1.0" encoding="utf-8"?>
<sst xmlns="http://schemas.openxmlformats.org/spreadsheetml/2006/main" count="253" uniqueCount="192">
  <si>
    <t>1号館　ユニット入居名簿</t>
    <rPh sb="1" eb="3">
      <t>ゴウカン</t>
    </rPh>
    <rPh sb="8" eb="10">
      <t>ニュウキョ</t>
    </rPh>
    <rPh sb="10" eb="12">
      <t>メイボ</t>
    </rPh>
    <phoneticPr fontId="2"/>
  </si>
  <si>
    <t>植谷CM</t>
    <rPh sb="0" eb="2">
      <t>ウエタニ</t>
    </rPh>
    <phoneticPr fontId="2"/>
  </si>
  <si>
    <t>米山管栄</t>
    <rPh sb="0" eb="2">
      <t>ヨネヤマ</t>
    </rPh>
    <rPh sb="2" eb="3">
      <t>カン</t>
    </rPh>
    <rPh sb="3" eb="4">
      <t>エイ</t>
    </rPh>
    <phoneticPr fontId="2"/>
  </si>
  <si>
    <t>米山管栄</t>
    <rPh sb="0" eb="2">
      <t>ヨネヤマ</t>
    </rPh>
    <phoneticPr fontId="2"/>
  </si>
  <si>
    <t>1　階</t>
    <rPh sb="2" eb="3">
      <t>カイ</t>
    </rPh>
    <phoneticPr fontId="6"/>
  </si>
  <si>
    <t>華　　　　</t>
    <rPh sb="0" eb="1">
      <t>ハナ</t>
    </rPh>
    <phoneticPr fontId="6"/>
  </si>
  <si>
    <t>柔　　　　</t>
    <rPh sb="0" eb="1">
      <t>ジュウ</t>
    </rPh>
    <phoneticPr fontId="6"/>
  </si>
  <si>
    <t>日比野　初江</t>
    <rPh sb="0" eb="3">
      <t>ヒビノ</t>
    </rPh>
    <rPh sb="4" eb="6">
      <t>ハツエ</t>
    </rPh>
    <phoneticPr fontId="2"/>
  </si>
  <si>
    <t>児玉　槇子</t>
    <rPh sb="0" eb="2">
      <t>コダマ</t>
    </rPh>
    <rPh sb="3" eb="5">
      <t>マキコ</t>
    </rPh>
    <phoneticPr fontId="6"/>
  </si>
  <si>
    <t>田渕　きみ子</t>
    <rPh sb="0" eb="2">
      <t>タブチ</t>
    </rPh>
    <rPh sb="5" eb="6">
      <t>コ</t>
    </rPh>
    <phoneticPr fontId="6"/>
  </si>
  <si>
    <t>Br</t>
    <phoneticPr fontId="2"/>
  </si>
  <si>
    <t>田中　由美</t>
    <rPh sb="0" eb="2">
      <t>タナカ</t>
    </rPh>
    <rPh sb="3" eb="5">
      <t>ユミ</t>
    </rPh>
    <phoneticPr fontId="6"/>
  </si>
  <si>
    <t>松田　栄美子</t>
    <rPh sb="0" eb="2">
      <t>マツダ</t>
    </rPh>
    <rPh sb="3" eb="6">
      <t>エミコ</t>
    </rPh>
    <phoneticPr fontId="2"/>
  </si>
  <si>
    <t>斎藤　ゑみ子</t>
    <rPh sb="0" eb="2">
      <t>サイトウ</t>
    </rPh>
    <rPh sb="3" eb="6">
      <t>エミコ</t>
    </rPh>
    <phoneticPr fontId="6"/>
  </si>
  <si>
    <t>山本　靜子</t>
    <rPh sb="0" eb="2">
      <t>ヤマモト</t>
    </rPh>
    <rPh sb="3" eb="5">
      <t>シズコ</t>
    </rPh>
    <phoneticPr fontId="2"/>
  </si>
  <si>
    <t>HOT</t>
    <phoneticPr fontId="2"/>
  </si>
  <si>
    <t>東野　初子</t>
    <rPh sb="0" eb="2">
      <t>トウノ</t>
    </rPh>
    <rPh sb="3" eb="5">
      <t>ハツコ</t>
    </rPh>
    <phoneticPr fontId="6"/>
  </si>
  <si>
    <t>Peg</t>
    <phoneticPr fontId="2"/>
  </si>
  <si>
    <t>金田　八重子</t>
    <rPh sb="0" eb="2">
      <t>カネダ</t>
    </rPh>
    <rPh sb="3" eb="6">
      <t>ヤエコ</t>
    </rPh>
    <phoneticPr fontId="6"/>
  </si>
  <si>
    <t>大熊　みき</t>
    <rPh sb="0" eb="2">
      <t>オオクマ</t>
    </rPh>
    <phoneticPr fontId="6"/>
  </si>
  <si>
    <t>内堀　まさ枝</t>
    <rPh sb="0" eb="2">
      <t>ウチボリ</t>
    </rPh>
    <rPh sb="5" eb="6">
      <t>エ</t>
    </rPh>
    <phoneticPr fontId="6"/>
  </si>
  <si>
    <t>ストマ</t>
    <phoneticPr fontId="2"/>
  </si>
  <si>
    <t>大前　治雄</t>
    <rPh sb="0" eb="2">
      <t>オオマエ</t>
    </rPh>
    <rPh sb="3" eb="4">
      <t>オサム</t>
    </rPh>
    <rPh sb="4" eb="5">
      <t>オス</t>
    </rPh>
    <phoneticPr fontId="6"/>
  </si>
  <si>
    <t>曽我CM</t>
    <rPh sb="0" eb="2">
      <t>ソガ</t>
    </rPh>
    <phoneticPr fontId="2"/>
  </si>
  <si>
    <t>中野管栄</t>
    <rPh sb="0" eb="2">
      <t>ナカノ</t>
    </rPh>
    <phoneticPr fontId="2"/>
  </si>
  <si>
    <t>里内PT</t>
    <rPh sb="0" eb="2">
      <t>サトウチ</t>
    </rPh>
    <phoneticPr fontId="2"/>
  </si>
  <si>
    <t>2　階</t>
    <rPh sb="2" eb="3">
      <t>カイ</t>
    </rPh>
    <phoneticPr fontId="6"/>
  </si>
  <si>
    <t>智</t>
    <rPh sb="0" eb="1">
      <t>サトイ</t>
    </rPh>
    <phoneticPr fontId="6"/>
  </si>
  <si>
    <t>竹川　幸子</t>
    <rPh sb="0" eb="2">
      <t>タケガワ</t>
    </rPh>
    <rPh sb="3" eb="5">
      <t>サチコ</t>
    </rPh>
    <phoneticPr fontId="2"/>
  </si>
  <si>
    <t>縁</t>
    <rPh sb="0" eb="1">
      <t>ユカリ</t>
    </rPh>
    <phoneticPr fontId="6"/>
  </si>
  <si>
    <t>山本　智樹</t>
    <rPh sb="0" eb="2">
      <t>ヤマモト</t>
    </rPh>
    <rPh sb="3" eb="5">
      <t>トモキ</t>
    </rPh>
    <phoneticPr fontId="2"/>
  </si>
  <si>
    <t>昴</t>
    <rPh sb="0" eb="1">
      <t>スバル</t>
    </rPh>
    <phoneticPr fontId="6"/>
  </si>
  <si>
    <t>中村　照子</t>
    <rPh sb="0" eb="2">
      <t>ナカムラ</t>
    </rPh>
    <rPh sb="3" eb="5">
      <t>テルコ</t>
    </rPh>
    <phoneticPr fontId="2"/>
  </si>
  <si>
    <t>明</t>
    <rPh sb="0" eb="1">
      <t>ア</t>
    </rPh>
    <phoneticPr fontId="6"/>
  </si>
  <si>
    <t>山口　達浩</t>
    <rPh sb="0" eb="2">
      <t>ヤマグチ</t>
    </rPh>
    <rPh sb="3" eb="5">
      <t>タツヒロ</t>
    </rPh>
    <phoneticPr fontId="2"/>
  </si>
  <si>
    <t>加門　美喜子</t>
    <rPh sb="0" eb="2">
      <t>カモン</t>
    </rPh>
    <rPh sb="3" eb="6">
      <t>ミキコ</t>
    </rPh>
    <phoneticPr fontId="2"/>
  </si>
  <si>
    <t>饗場　郁子</t>
    <rPh sb="0" eb="2">
      <t>アイバ</t>
    </rPh>
    <rPh sb="3" eb="5">
      <t>イクコ</t>
    </rPh>
    <phoneticPr fontId="2"/>
  </si>
  <si>
    <t>インス</t>
    <phoneticPr fontId="2"/>
  </si>
  <si>
    <t>岡根　萠子</t>
    <rPh sb="0" eb="2">
      <t>オカネ</t>
    </rPh>
    <rPh sb="3" eb="4">
      <t>モエ</t>
    </rPh>
    <rPh sb="4" eb="5">
      <t>コ</t>
    </rPh>
    <phoneticPr fontId="2"/>
  </si>
  <si>
    <t>橋本　恵美子</t>
    <rPh sb="0" eb="2">
      <t>ハシモト</t>
    </rPh>
    <rPh sb="3" eb="6">
      <t>エミコ</t>
    </rPh>
    <phoneticPr fontId="2"/>
  </si>
  <si>
    <t>看</t>
    <rPh sb="0" eb="1">
      <t>ミ</t>
    </rPh>
    <phoneticPr fontId="2"/>
  </si>
  <si>
    <t>福谷　義子</t>
    <rPh sb="0" eb="2">
      <t>フクタニ</t>
    </rPh>
    <rPh sb="3" eb="4">
      <t>ヨシ</t>
    </rPh>
    <rPh sb="4" eb="5">
      <t>コ</t>
    </rPh>
    <phoneticPr fontId="2"/>
  </si>
  <si>
    <t>松井　郁子</t>
    <rPh sb="0" eb="2">
      <t>マツイ</t>
    </rPh>
    <rPh sb="3" eb="5">
      <t>イクコ</t>
    </rPh>
    <phoneticPr fontId="2"/>
  </si>
  <si>
    <t>出倉　幸代</t>
    <phoneticPr fontId="2"/>
  </si>
  <si>
    <t>森口　きよ子</t>
    <rPh sb="0" eb="2">
      <t>モリグチ</t>
    </rPh>
    <rPh sb="5" eb="6">
      <t>コ</t>
    </rPh>
    <phoneticPr fontId="2"/>
  </si>
  <si>
    <t>野添　輝子</t>
    <rPh sb="0" eb="2">
      <t>ノゾエ</t>
    </rPh>
    <rPh sb="3" eb="5">
      <t>テルコ</t>
    </rPh>
    <phoneticPr fontId="2"/>
  </si>
  <si>
    <t>木村　光栄</t>
    <rPh sb="0" eb="2">
      <t>キムラ</t>
    </rPh>
    <rPh sb="3" eb="5">
      <t>コウエイ</t>
    </rPh>
    <phoneticPr fontId="2"/>
  </si>
  <si>
    <t>小林　美智子</t>
    <rPh sb="0" eb="2">
      <t>コバヤシ</t>
    </rPh>
    <rPh sb="3" eb="6">
      <t>ミチコ</t>
    </rPh>
    <phoneticPr fontId="2"/>
  </si>
  <si>
    <t>三田村　美代子</t>
    <rPh sb="0" eb="3">
      <t>ミタムラ</t>
    </rPh>
    <rPh sb="4" eb="7">
      <t>ミヨコ</t>
    </rPh>
    <phoneticPr fontId="2"/>
  </si>
  <si>
    <t>中村　照榮</t>
    <rPh sb="0" eb="2">
      <t>ナカムラ</t>
    </rPh>
    <rPh sb="3" eb="4">
      <t>テル</t>
    </rPh>
    <rPh sb="4" eb="5">
      <t>サカエ</t>
    </rPh>
    <phoneticPr fontId="2"/>
  </si>
  <si>
    <t>横江　貞子</t>
    <rPh sb="0" eb="2">
      <t>ヨコエ</t>
    </rPh>
    <rPh sb="3" eb="5">
      <t>サダコ</t>
    </rPh>
    <phoneticPr fontId="2"/>
  </si>
  <si>
    <t>杉江　幸</t>
    <rPh sb="0" eb="2">
      <t>スギエ</t>
    </rPh>
    <rPh sb="3" eb="4">
      <t>サチ</t>
    </rPh>
    <phoneticPr fontId="2"/>
  </si>
  <si>
    <t>菱　愛子</t>
    <rPh sb="0" eb="1">
      <t>ヒシ</t>
    </rPh>
    <rPh sb="2" eb="4">
      <t>アイコ</t>
    </rPh>
    <phoneticPr fontId="2"/>
  </si>
  <si>
    <t>松井　弘子</t>
    <rPh sb="0" eb="2">
      <t>マツイ</t>
    </rPh>
    <rPh sb="3" eb="5">
      <t>ヒロコ</t>
    </rPh>
    <phoneticPr fontId="2"/>
  </si>
  <si>
    <t>舘　榮子</t>
    <rPh sb="0" eb="1">
      <t>タチ</t>
    </rPh>
    <rPh sb="2" eb="4">
      <t>エイコ</t>
    </rPh>
    <phoneticPr fontId="2"/>
  </si>
  <si>
    <t>堀　満壽美</t>
    <rPh sb="0" eb="1">
      <t>ホリ</t>
    </rPh>
    <rPh sb="2" eb="3">
      <t>マン</t>
    </rPh>
    <rPh sb="3" eb="4">
      <t>コトブキ</t>
    </rPh>
    <rPh sb="4" eb="5">
      <t>ミ</t>
    </rPh>
    <phoneticPr fontId="2"/>
  </si>
  <si>
    <t>鈴木　つや子</t>
    <rPh sb="0" eb="2">
      <t>スズキ</t>
    </rPh>
    <rPh sb="5" eb="6">
      <t>コ</t>
    </rPh>
    <phoneticPr fontId="2"/>
  </si>
  <si>
    <t>淡海ふれあい病院</t>
    <rPh sb="0" eb="2">
      <t>オウミ</t>
    </rPh>
    <rPh sb="6" eb="8">
      <t>ビョウイン</t>
    </rPh>
    <phoneticPr fontId="2"/>
  </si>
  <si>
    <t>廻診　毎週木曜日　9：00</t>
    <rPh sb="0" eb="2">
      <t>カイシン</t>
    </rPh>
    <rPh sb="3" eb="5">
      <t>マイシュウ</t>
    </rPh>
    <rPh sb="5" eb="8">
      <t>モクヨウビ</t>
    </rPh>
    <phoneticPr fontId="6"/>
  </si>
  <si>
    <t>Br=</t>
    <phoneticPr fontId="2"/>
  </si>
  <si>
    <t>淡海ふれあい病院　　〒525-8585　草津市矢橋町1629-5　TEL　077-516-2121</t>
    <rPh sb="0" eb="2">
      <t>オウミ</t>
    </rPh>
    <rPh sb="6" eb="8">
      <t>ビョウイン</t>
    </rPh>
    <phoneticPr fontId="6"/>
  </si>
  <si>
    <t>インスリン</t>
    <phoneticPr fontId="2"/>
  </si>
  <si>
    <t>看取り</t>
    <rPh sb="0" eb="2">
      <t>ミト</t>
    </rPh>
    <phoneticPr fontId="2"/>
  </si>
  <si>
    <t>2号館　ユニット入居名簿</t>
    <rPh sb="1" eb="3">
      <t>ゴウカン</t>
    </rPh>
    <rPh sb="8" eb="10">
      <t>ニュウキョ</t>
    </rPh>
    <rPh sb="10" eb="12">
      <t>メイボ</t>
    </rPh>
    <phoneticPr fontId="2"/>
  </si>
  <si>
    <t>五島OT</t>
    <rPh sb="0" eb="2">
      <t>ゴシマ</t>
    </rPh>
    <phoneticPr fontId="2"/>
  </si>
  <si>
    <t>遠藤CM</t>
    <rPh sb="0" eb="2">
      <t>エンドウ</t>
    </rPh>
    <phoneticPr fontId="2"/>
  </si>
  <si>
    <t>山本PT</t>
    <rPh sb="0" eb="2">
      <t>ヤマモト</t>
    </rPh>
    <phoneticPr fontId="2"/>
  </si>
  <si>
    <t>寺田PT</t>
    <rPh sb="0" eb="2">
      <t>テラダ</t>
    </rPh>
    <phoneticPr fontId="2"/>
  </si>
  <si>
    <t>唐　崎</t>
    <rPh sb="0" eb="1">
      <t>トウ</t>
    </rPh>
    <rPh sb="2" eb="3">
      <t>ザキ</t>
    </rPh>
    <phoneticPr fontId="6"/>
  </si>
  <si>
    <t>工藤　ハマ　</t>
    <rPh sb="0" eb="2">
      <t>クドウ</t>
    </rPh>
    <phoneticPr fontId="2"/>
  </si>
  <si>
    <t>帰　帆</t>
    <rPh sb="0" eb="1">
      <t>キ</t>
    </rPh>
    <rPh sb="2" eb="3">
      <t>ホ</t>
    </rPh>
    <phoneticPr fontId="6"/>
  </si>
  <si>
    <t>夕　照</t>
    <rPh sb="0" eb="1">
      <t>ユウ</t>
    </rPh>
    <rPh sb="2" eb="3">
      <t>テル</t>
    </rPh>
    <phoneticPr fontId="6"/>
  </si>
  <si>
    <t>横江　一美</t>
    <rPh sb="0" eb="2">
      <t>ヨコエ</t>
    </rPh>
    <rPh sb="3" eb="5">
      <t>カズミ</t>
    </rPh>
    <phoneticPr fontId="6"/>
  </si>
  <si>
    <t>松田　たつ子</t>
    <rPh sb="0" eb="2">
      <t>マツダ</t>
    </rPh>
    <rPh sb="5" eb="6">
      <t>コ</t>
    </rPh>
    <phoneticPr fontId="6"/>
  </si>
  <si>
    <t>寺田　富榮</t>
    <rPh sb="0" eb="2">
      <t>テラタ</t>
    </rPh>
    <rPh sb="3" eb="4">
      <t>トミ</t>
    </rPh>
    <rPh sb="4" eb="5">
      <t>サカエ</t>
    </rPh>
    <phoneticPr fontId="6"/>
  </si>
  <si>
    <t>伊庭　ひさ</t>
    <rPh sb="0" eb="2">
      <t>イバ</t>
    </rPh>
    <phoneticPr fontId="6"/>
  </si>
  <si>
    <t>松田　よし子</t>
    <rPh sb="0" eb="2">
      <t>マツダ</t>
    </rPh>
    <rPh sb="5" eb="6">
      <t>コ</t>
    </rPh>
    <phoneticPr fontId="2"/>
  </si>
  <si>
    <t>深見　道子</t>
    <rPh sb="0" eb="2">
      <t>フカミ</t>
    </rPh>
    <rPh sb="3" eb="5">
      <t>ミチコ</t>
    </rPh>
    <phoneticPr fontId="6"/>
  </si>
  <si>
    <t>植村　祐子</t>
    <rPh sb="0" eb="2">
      <t>ウエムラ</t>
    </rPh>
    <rPh sb="3" eb="5">
      <t>ユウコ</t>
    </rPh>
    <phoneticPr fontId="6"/>
  </si>
  <si>
    <t>黒川　米次郎</t>
    <rPh sb="0" eb="2">
      <t>クロカワ</t>
    </rPh>
    <rPh sb="3" eb="6">
      <t>ヨネジロウ</t>
    </rPh>
    <phoneticPr fontId="6"/>
  </si>
  <si>
    <t>インス</t>
  </si>
  <si>
    <t>有田　己吉</t>
    <rPh sb="0" eb="2">
      <t>アリタ</t>
    </rPh>
    <rPh sb="3" eb="4">
      <t>ミ</t>
    </rPh>
    <rPh sb="4" eb="5">
      <t>ヨシ</t>
    </rPh>
    <phoneticPr fontId="6"/>
  </si>
  <si>
    <t>梅原　宣子</t>
    <rPh sb="0" eb="2">
      <t>ウメハラ</t>
    </rPh>
    <rPh sb="3" eb="5">
      <t>ノリコ</t>
    </rPh>
    <phoneticPr fontId="6"/>
  </si>
  <si>
    <t>山本　悦子</t>
    <rPh sb="0" eb="2">
      <t>ヤマモト</t>
    </rPh>
    <rPh sb="3" eb="5">
      <t>エツコ</t>
    </rPh>
    <phoneticPr fontId="6"/>
  </si>
  <si>
    <t>北出　和子</t>
    <rPh sb="0" eb="2">
      <t>キタデ</t>
    </rPh>
    <rPh sb="3" eb="5">
      <t>カズコ</t>
    </rPh>
    <phoneticPr fontId="6"/>
  </si>
  <si>
    <t>小幡　美代子</t>
    <rPh sb="0" eb="2">
      <t>オバタ</t>
    </rPh>
    <rPh sb="3" eb="6">
      <t>ミヨコ</t>
    </rPh>
    <phoneticPr fontId="2"/>
  </si>
  <si>
    <t>鈎　清次</t>
    <rPh sb="0" eb="1">
      <t>マガリ</t>
    </rPh>
    <rPh sb="2" eb="4">
      <t>キヨジ</t>
    </rPh>
    <phoneticPr fontId="6"/>
  </si>
  <si>
    <t>猪狩　末富</t>
    <rPh sb="0" eb="2">
      <t>イカリ</t>
    </rPh>
    <rPh sb="3" eb="5">
      <t>スエトミ</t>
    </rPh>
    <phoneticPr fontId="6"/>
  </si>
  <si>
    <t>安井　絹子</t>
    <rPh sb="0" eb="2">
      <t>ヤスイ</t>
    </rPh>
    <rPh sb="3" eb="5">
      <t>キヌコ</t>
    </rPh>
    <phoneticPr fontId="6"/>
  </si>
  <si>
    <t>吉田PT</t>
    <rPh sb="0" eb="2">
      <t>ヨシダ</t>
    </rPh>
    <phoneticPr fontId="2"/>
  </si>
  <si>
    <t>杉田OT</t>
    <rPh sb="0" eb="2">
      <t>スギタ</t>
    </rPh>
    <phoneticPr fontId="2"/>
  </si>
  <si>
    <t>秋　月</t>
    <rPh sb="0" eb="1">
      <t>アキ</t>
    </rPh>
    <rPh sb="2" eb="3">
      <t>ゲツ</t>
    </rPh>
    <phoneticPr fontId="6"/>
  </si>
  <si>
    <t>杉江　峰子</t>
    <rPh sb="0" eb="2">
      <t>スギエ</t>
    </rPh>
    <rPh sb="3" eb="5">
      <t>ミネコ</t>
    </rPh>
    <phoneticPr fontId="2"/>
  </si>
  <si>
    <t>晩　鐘</t>
    <rPh sb="0" eb="1">
      <t>バン</t>
    </rPh>
    <rPh sb="2" eb="3">
      <t>カネ</t>
    </rPh>
    <phoneticPr fontId="6"/>
  </si>
  <si>
    <t>河村　實</t>
    <rPh sb="0" eb="2">
      <t>カワムラ</t>
    </rPh>
    <rPh sb="3" eb="4">
      <t>ミノル</t>
    </rPh>
    <phoneticPr fontId="6"/>
  </si>
  <si>
    <t>晴　嵐</t>
    <rPh sb="0" eb="1">
      <t>ハレ</t>
    </rPh>
    <rPh sb="2" eb="3">
      <t>アラシ</t>
    </rPh>
    <phoneticPr fontId="6"/>
  </si>
  <si>
    <t>黒田　榮子</t>
    <rPh sb="0" eb="2">
      <t>クロダ</t>
    </rPh>
    <rPh sb="3" eb="5">
      <t>エイコ</t>
    </rPh>
    <phoneticPr fontId="6"/>
  </si>
  <si>
    <t>暮　雪</t>
    <rPh sb="0" eb="1">
      <t>ボ</t>
    </rPh>
    <rPh sb="2" eb="3">
      <t>ユキ</t>
    </rPh>
    <phoneticPr fontId="6"/>
  </si>
  <si>
    <t>打田　智津枝</t>
    <rPh sb="0" eb="2">
      <t>ウチダ</t>
    </rPh>
    <rPh sb="3" eb="4">
      <t>チ</t>
    </rPh>
    <rPh sb="4" eb="5">
      <t>ツ</t>
    </rPh>
    <rPh sb="5" eb="6">
      <t>エ</t>
    </rPh>
    <phoneticPr fontId="6"/>
  </si>
  <si>
    <t>森田　正代</t>
    <rPh sb="0" eb="2">
      <t>モリタ</t>
    </rPh>
    <rPh sb="3" eb="5">
      <t>マサヨ</t>
    </rPh>
    <phoneticPr fontId="6"/>
  </si>
  <si>
    <t>野村　南千代</t>
    <rPh sb="0" eb="2">
      <t>ノムラ</t>
    </rPh>
    <rPh sb="3" eb="4">
      <t>ナン</t>
    </rPh>
    <rPh sb="4" eb="6">
      <t>チヨ</t>
    </rPh>
    <phoneticPr fontId="6"/>
  </si>
  <si>
    <t>來海　道子</t>
    <rPh sb="0" eb="2">
      <t>キマチ</t>
    </rPh>
    <rPh sb="3" eb="5">
      <t>ミチコ</t>
    </rPh>
    <phoneticPr fontId="6"/>
  </si>
  <si>
    <t>Br</t>
  </si>
  <si>
    <t>田中　榮造</t>
    <rPh sb="0" eb="2">
      <t>タナカ</t>
    </rPh>
    <rPh sb="3" eb="4">
      <t>サカエ</t>
    </rPh>
    <rPh sb="4" eb="5">
      <t>ツク</t>
    </rPh>
    <phoneticPr fontId="6"/>
  </si>
  <si>
    <t>吉野　ヨシ子</t>
    <rPh sb="0" eb="2">
      <t>ヨシノ</t>
    </rPh>
    <rPh sb="5" eb="6">
      <t>コ</t>
    </rPh>
    <phoneticPr fontId="6"/>
  </si>
  <si>
    <t>川井　博子</t>
    <rPh sb="0" eb="2">
      <t>カワイ</t>
    </rPh>
    <rPh sb="3" eb="5">
      <t>ヒロコ</t>
    </rPh>
    <phoneticPr fontId="6"/>
  </si>
  <si>
    <t>山本　三男</t>
    <rPh sb="0" eb="2">
      <t>ヤマモト</t>
    </rPh>
    <rPh sb="3" eb="5">
      <t>ミツオ</t>
    </rPh>
    <phoneticPr fontId="6"/>
  </si>
  <si>
    <t>橋本　有子</t>
    <rPh sb="0" eb="2">
      <t>ハシモト</t>
    </rPh>
    <rPh sb="3" eb="5">
      <t>アリコ</t>
    </rPh>
    <phoneticPr fontId="6"/>
  </si>
  <si>
    <t>遠藤　テル</t>
    <rPh sb="0" eb="2">
      <t>エンドウ</t>
    </rPh>
    <phoneticPr fontId="6"/>
  </si>
  <si>
    <t>吉田　固行</t>
    <rPh sb="0" eb="2">
      <t>ヨシダ</t>
    </rPh>
    <rPh sb="3" eb="4">
      <t>カタ</t>
    </rPh>
    <rPh sb="4" eb="5">
      <t>ユキ</t>
    </rPh>
    <phoneticPr fontId="6"/>
  </si>
  <si>
    <t>辻　綾子</t>
    <rPh sb="0" eb="1">
      <t>ツジ</t>
    </rPh>
    <rPh sb="2" eb="4">
      <t>アヤコ</t>
    </rPh>
    <phoneticPr fontId="6"/>
  </si>
  <si>
    <t>平井　勝子</t>
    <rPh sb="0" eb="2">
      <t>ヒライ</t>
    </rPh>
    <rPh sb="3" eb="5">
      <t>カツコ</t>
    </rPh>
    <phoneticPr fontId="6"/>
  </si>
  <si>
    <t>小森　美代子</t>
    <rPh sb="0" eb="2">
      <t>コモリ</t>
    </rPh>
    <rPh sb="3" eb="6">
      <t>ミヨコ</t>
    </rPh>
    <phoneticPr fontId="6"/>
  </si>
  <si>
    <t>増田　和子</t>
    <rPh sb="0" eb="2">
      <t>マスダ</t>
    </rPh>
    <rPh sb="3" eb="5">
      <t>カズコ</t>
    </rPh>
    <phoneticPr fontId="6"/>
  </si>
  <si>
    <t>日下　紀美子</t>
    <rPh sb="0" eb="2">
      <t>クサカ</t>
    </rPh>
    <rPh sb="3" eb="6">
      <t>キミコ</t>
    </rPh>
    <phoneticPr fontId="6"/>
  </si>
  <si>
    <t>横江　増枝</t>
    <rPh sb="0" eb="2">
      <t>ヨコエ</t>
    </rPh>
    <rPh sb="3" eb="5">
      <t>マスエ</t>
    </rPh>
    <phoneticPr fontId="6"/>
  </si>
  <si>
    <t>岩花　美智子</t>
    <rPh sb="0" eb="2">
      <t>イワハナ</t>
    </rPh>
    <rPh sb="3" eb="6">
      <t>ミチコ</t>
    </rPh>
    <phoneticPr fontId="6"/>
  </si>
  <si>
    <t>佐藤　桂子</t>
    <rPh sb="0" eb="2">
      <t>サトウ</t>
    </rPh>
    <rPh sb="3" eb="5">
      <t>ケイコ</t>
    </rPh>
    <phoneticPr fontId="6"/>
  </si>
  <si>
    <t>上林　清孝</t>
    <rPh sb="0" eb="2">
      <t>カンバヤシ</t>
    </rPh>
    <rPh sb="3" eb="4">
      <t>キヨ</t>
    </rPh>
    <rPh sb="4" eb="5">
      <t>タカ</t>
    </rPh>
    <phoneticPr fontId="6"/>
  </si>
  <si>
    <t>佐伯　宣子</t>
    <rPh sb="0" eb="2">
      <t>サエキ</t>
    </rPh>
    <rPh sb="3" eb="5">
      <t>ノリコ</t>
    </rPh>
    <phoneticPr fontId="6"/>
  </si>
  <si>
    <t>田島　悦子</t>
    <rPh sb="0" eb="2">
      <t>タジマ</t>
    </rPh>
    <rPh sb="3" eb="5">
      <t>エツコ</t>
    </rPh>
    <phoneticPr fontId="6"/>
  </si>
  <si>
    <t>山田　久</t>
    <rPh sb="0" eb="2">
      <t>ヤマダ</t>
    </rPh>
    <rPh sb="3" eb="4">
      <t>ヒサシ</t>
    </rPh>
    <phoneticPr fontId="2"/>
  </si>
  <si>
    <t>大槻　加代子</t>
    <rPh sb="0" eb="2">
      <t>オオツキ</t>
    </rPh>
    <rPh sb="3" eb="6">
      <t>カヨコ</t>
    </rPh>
    <phoneticPr fontId="6"/>
  </si>
  <si>
    <t>宮川　君江</t>
    <rPh sb="0" eb="2">
      <t>ミヤガワ</t>
    </rPh>
    <rPh sb="3" eb="5">
      <t>キミエ</t>
    </rPh>
    <phoneticPr fontId="6"/>
  </si>
  <si>
    <t>貴島　惠子</t>
    <rPh sb="0" eb="2">
      <t>キジマ</t>
    </rPh>
    <rPh sb="3" eb="5">
      <t>ケイコ</t>
    </rPh>
    <phoneticPr fontId="6"/>
  </si>
  <si>
    <t>津野　由美代</t>
    <rPh sb="0" eb="2">
      <t>ツノ</t>
    </rPh>
    <rPh sb="3" eb="5">
      <t>ユミ</t>
    </rPh>
    <rPh sb="5" eb="6">
      <t>ヨ</t>
    </rPh>
    <phoneticPr fontId="6"/>
  </si>
  <si>
    <t>瀧　進</t>
    <rPh sb="0" eb="1">
      <t>タキ</t>
    </rPh>
    <rPh sb="2" eb="3">
      <t>ススム</t>
    </rPh>
    <phoneticPr fontId="2"/>
  </si>
  <si>
    <t>杉江　房江</t>
    <rPh sb="0" eb="2">
      <t>スギエ</t>
    </rPh>
    <rPh sb="3" eb="5">
      <t>フサエ</t>
    </rPh>
    <phoneticPr fontId="6"/>
  </si>
  <si>
    <t>淡海ふれあい病院　消化器内科</t>
    <rPh sb="0" eb="2">
      <t>オウミ</t>
    </rPh>
    <rPh sb="6" eb="8">
      <t>ビョウイン</t>
    </rPh>
    <rPh sb="9" eb="12">
      <t>ショウカキ</t>
    </rPh>
    <rPh sb="12" eb="14">
      <t>ナイカ</t>
    </rPh>
    <phoneticPr fontId="2"/>
  </si>
  <si>
    <t>担当医：　中村 文泰Dr　(ナカムラ フミヤス)</t>
    <rPh sb="0" eb="3">
      <t>タントウイ</t>
    </rPh>
    <rPh sb="5" eb="7">
      <t>ナカムラ</t>
    </rPh>
    <rPh sb="8" eb="9">
      <t>フミ</t>
    </rPh>
    <rPh sb="9" eb="10">
      <t>ヤスシ</t>
    </rPh>
    <phoneticPr fontId="2"/>
  </si>
  <si>
    <t>廻診　毎週火曜日　AM</t>
    <rPh sb="0" eb="2">
      <t>カイシン</t>
    </rPh>
    <rPh sb="3" eb="5">
      <t>マイシュウ</t>
    </rPh>
    <rPh sb="5" eb="8">
      <t>カヨウビ</t>
    </rPh>
    <phoneticPr fontId="6"/>
  </si>
  <si>
    <t>淡海医療センター　心療内科</t>
    <rPh sb="0" eb="2">
      <t>オウミ</t>
    </rPh>
    <rPh sb="2" eb="4">
      <t>イリョウ</t>
    </rPh>
    <rPh sb="9" eb="11">
      <t>シンリョウ</t>
    </rPh>
    <rPh sb="11" eb="13">
      <t>ナイカ</t>
    </rPh>
    <phoneticPr fontId="2"/>
  </si>
  <si>
    <t>担当医：　波多野 和夫Dr　(ハタノ カズオ)</t>
    <rPh sb="0" eb="3">
      <t>タントウイ</t>
    </rPh>
    <rPh sb="5" eb="8">
      <t>ハタノ</t>
    </rPh>
    <rPh sb="9" eb="11">
      <t>カズオ</t>
    </rPh>
    <phoneticPr fontId="2"/>
  </si>
  <si>
    <t>廻診　第2、4　金曜日　13：00～</t>
    <rPh sb="0" eb="2">
      <t>カイシン</t>
    </rPh>
    <rPh sb="3" eb="4">
      <t>ダイ</t>
    </rPh>
    <rPh sb="8" eb="11">
      <t>キンヨウビ</t>
    </rPh>
    <phoneticPr fontId="6"/>
  </si>
  <si>
    <t>荒堀希友子</t>
    <rPh sb="0" eb="2">
      <t>アラホリ</t>
    </rPh>
    <rPh sb="2" eb="3">
      <t>ノゾミ</t>
    </rPh>
    <rPh sb="3" eb="5">
      <t>トモコ</t>
    </rPh>
    <phoneticPr fontId="6"/>
  </si>
  <si>
    <t>岡田　八郎</t>
    <rPh sb="0" eb="2">
      <t>オカダ</t>
    </rPh>
    <rPh sb="3" eb="5">
      <t>ハチロウ</t>
    </rPh>
    <phoneticPr fontId="6"/>
  </si>
  <si>
    <t>藤川PT</t>
    <rPh sb="0" eb="2">
      <t>フジカワ</t>
    </rPh>
    <phoneticPr fontId="2"/>
  </si>
  <si>
    <t>田淵　つね</t>
    <rPh sb="0" eb="2">
      <t>タブチ</t>
    </rPh>
    <phoneticPr fontId="2"/>
  </si>
  <si>
    <t>武元CM</t>
    <rPh sb="0" eb="2">
      <t>タケモト</t>
    </rPh>
    <phoneticPr fontId="2"/>
  </si>
  <si>
    <t>藤田　三四子</t>
    <rPh sb="0" eb="2">
      <t>フジタ</t>
    </rPh>
    <rPh sb="3" eb="6">
      <t>ミヨコ</t>
    </rPh>
    <phoneticPr fontId="2"/>
  </si>
  <si>
    <t>川口　美代子</t>
    <phoneticPr fontId="2"/>
  </si>
  <si>
    <t>久泉　昭枝</t>
    <phoneticPr fontId="2"/>
  </si>
  <si>
    <t>潟淵 治雄</t>
    <phoneticPr fontId="2"/>
  </si>
  <si>
    <t>潟淵 幸枝</t>
    <rPh sb="3" eb="5">
      <t>ユキエ</t>
    </rPh>
    <phoneticPr fontId="2"/>
  </si>
  <si>
    <t>泉谷 とよ子</t>
    <rPh sb="0" eb="2">
      <t>イズタニ</t>
    </rPh>
    <rPh sb="5" eb="6">
      <t>コ</t>
    </rPh>
    <phoneticPr fontId="2"/>
  </si>
  <si>
    <t>谷口　千代子</t>
    <rPh sb="0" eb="2">
      <t>タニグチ</t>
    </rPh>
    <rPh sb="3" eb="6">
      <t>チヨコ</t>
    </rPh>
    <phoneticPr fontId="2"/>
  </si>
  <si>
    <t>百田　百合子</t>
    <phoneticPr fontId="2"/>
  </si>
  <si>
    <t>佐藤　美智子</t>
    <phoneticPr fontId="2"/>
  </si>
  <si>
    <t>大久保綾子</t>
    <rPh sb="0" eb="3">
      <t>オオクボ</t>
    </rPh>
    <rPh sb="3" eb="5">
      <t>アヤコ</t>
    </rPh>
    <phoneticPr fontId="6"/>
  </si>
  <si>
    <t>内堀　光雄</t>
    <rPh sb="0" eb="2">
      <t>ウチホリ</t>
    </rPh>
    <rPh sb="3" eb="4">
      <t>ヒカル</t>
    </rPh>
    <rPh sb="4" eb="5">
      <t>オス</t>
    </rPh>
    <phoneticPr fontId="6"/>
  </si>
  <si>
    <t>水口　まさ子</t>
    <rPh sb="0" eb="2">
      <t>ミズグチ</t>
    </rPh>
    <rPh sb="5" eb="6">
      <t>コ</t>
    </rPh>
    <phoneticPr fontId="6"/>
  </si>
  <si>
    <t>藤川/古賀</t>
    <rPh sb="0" eb="2">
      <t>フジカワ</t>
    </rPh>
    <rPh sb="3" eb="5">
      <t>コガ</t>
    </rPh>
    <phoneticPr fontId="2"/>
  </si>
  <si>
    <t>古賀</t>
    <rPh sb="0" eb="2">
      <t>コガ</t>
    </rPh>
    <phoneticPr fontId="2"/>
  </si>
  <si>
    <t>藤川</t>
    <rPh sb="0" eb="2">
      <t>フジカワ</t>
    </rPh>
    <phoneticPr fontId="2"/>
  </si>
  <si>
    <t>古賀PT</t>
    <rPh sb="0" eb="2">
      <t>コガ</t>
    </rPh>
    <phoneticPr fontId="2"/>
  </si>
  <si>
    <t>岩田　健次</t>
    <rPh sb="0" eb="2">
      <t>イワタ</t>
    </rPh>
    <rPh sb="3" eb="5">
      <t>ケンジ</t>
    </rPh>
    <phoneticPr fontId="2"/>
  </si>
  <si>
    <t>大井　幸枝</t>
    <rPh sb="0" eb="2">
      <t>オオイ</t>
    </rPh>
    <rPh sb="3" eb="4">
      <t>ユキ</t>
    </rPh>
    <rPh sb="4" eb="5">
      <t>エダ</t>
    </rPh>
    <phoneticPr fontId="2"/>
  </si>
  <si>
    <t>森田　幸子　Br=</t>
    <rPh sb="0" eb="2">
      <t>モリタ</t>
    </rPh>
    <rPh sb="3" eb="5">
      <t>サチコ</t>
    </rPh>
    <phoneticPr fontId="2"/>
  </si>
  <si>
    <t>谷　清三</t>
    <rPh sb="0" eb="1">
      <t>タニ</t>
    </rPh>
    <rPh sb="2" eb="3">
      <t>セイ</t>
    </rPh>
    <rPh sb="3" eb="4">
      <t>サン</t>
    </rPh>
    <phoneticPr fontId="2"/>
  </si>
  <si>
    <t>山田　みち子</t>
    <rPh sb="0" eb="2">
      <t>ヤマダ</t>
    </rPh>
    <rPh sb="5" eb="6">
      <t>コ</t>
    </rPh>
    <phoneticPr fontId="2"/>
  </si>
  <si>
    <t>看</t>
    <rPh sb="0" eb="1">
      <t>カン</t>
    </rPh>
    <phoneticPr fontId="2"/>
  </si>
  <si>
    <t>小半　桂子</t>
    <rPh sb="0" eb="1">
      <t>ショウ</t>
    </rPh>
    <rPh sb="1" eb="2">
      <t>ハン</t>
    </rPh>
    <rPh sb="3" eb="5">
      <t>ケイコ</t>
    </rPh>
    <phoneticPr fontId="6"/>
  </si>
  <si>
    <t>團野　ふさゑ</t>
    <rPh sb="0" eb="2">
      <t>ダンノ</t>
    </rPh>
    <phoneticPr fontId="6"/>
  </si>
  <si>
    <t>細野　千恵子</t>
    <rPh sb="0" eb="2">
      <t>ホソノ</t>
    </rPh>
    <rPh sb="3" eb="6">
      <t>チエコ</t>
    </rPh>
    <phoneticPr fontId="2"/>
  </si>
  <si>
    <t>金澤　重夫</t>
    <rPh sb="0" eb="2">
      <t>カナザワ</t>
    </rPh>
    <rPh sb="3" eb="4">
      <t>シゲ</t>
    </rPh>
    <rPh sb="4" eb="5">
      <t>オット</t>
    </rPh>
    <phoneticPr fontId="2"/>
  </si>
  <si>
    <t>中嶋　佳子</t>
    <rPh sb="0" eb="2">
      <t>ナカジマ</t>
    </rPh>
    <rPh sb="3" eb="5">
      <t>ヨシコ</t>
    </rPh>
    <phoneticPr fontId="2"/>
  </si>
  <si>
    <t>上田　弘子</t>
    <rPh sb="0" eb="2">
      <t>ウエダ</t>
    </rPh>
    <rPh sb="3" eb="5">
      <t>ヒロコ</t>
    </rPh>
    <phoneticPr fontId="2"/>
  </si>
  <si>
    <t>矢野　清美</t>
    <rPh sb="0" eb="2">
      <t>ヤノ</t>
    </rPh>
    <rPh sb="3" eb="5">
      <t>キヨミ</t>
    </rPh>
    <phoneticPr fontId="2"/>
  </si>
  <si>
    <t>浅井　美佐子</t>
    <rPh sb="0" eb="2">
      <t>アサイ</t>
    </rPh>
    <rPh sb="3" eb="6">
      <t>ミサコ</t>
    </rPh>
    <phoneticPr fontId="2"/>
  </si>
  <si>
    <t>明石幸江</t>
    <rPh sb="0" eb="2">
      <t>アカシ</t>
    </rPh>
    <rPh sb="2" eb="3">
      <t>サチ</t>
    </rPh>
    <rPh sb="3" eb="4">
      <t>エ</t>
    </rPh>
    <phoneticPr fontId="2"/>
  </si>
  <si>
    <t>西川邦子</t>
    <rPh sb="0" eb="2">
      <t>ニシカワ</t>
    </rPh>
    <rPh sb="2" eb="4">
      <t>クニコ</t>
    </rPh>
    <phoneticPr fontId="2"/>
  </si>
  <si>
    <t>森下敏行</t>
    <rPh sb="0" eb="2">
      <t>モリシタ</t>
    </rPh>
    <rPh sb="2" eb="4">
      <t>トシユキ</t>
    </rPh>
    <phoneticPr fontId="2"/>
  </si>
  <si>
    <t>中野真管栄</t>
    <rPh sb="0" eb="2">
      <t>ナカノ</t>
    </rPh>
    <rPh sb="2" eb="3">
      <t>マ</t>
    </rPh>
    <rPh sb="3" eb="5">
      <t>カンエイ</t>
    </rPh>
    <phoneticPr fontId="2"/>
  </si>
  <si>
    <t>米山管栄</t>
    <rPh sb="0" eb="2">
      <t>ヨネヤマ</t>
    </rPh>
    <rPh sb="2" eb="4">
      <t>カンエイ</t>
    </rPh>
    <phoneticPr fontId="2"/>
  </si>
  <si>
    <t>中野管栄</t>
    <rPh sb="0" eb="2">
      <t>ナカノ</t>
    </rPh>
    <rPh sb="2" eb="4">
      <t>カンエイ</t>
    </rPh>
    <phoneticPr fontId="2"/>
  </si>
  <si>
    <t>渡部CM</t>
    <rPh sb="0" eb="2">
      <t>ワタベ</t>
    </rPh>
    <phoneticPr fontId="2"/>
  </si>
  <si>
    <t>藤川CM</t>
    <rPh sb="0" eb="2">
      <t>フジカワ</t>
    </rPh>
    <phoneticPr fontId="2"/>
  </si>
  <si>
    <t>担当医：　越智　英明Dr　（オチ　ヒデアキ）</t>
    <rPh sb="0" eb="3">
      <t>タントウイ</t>
    </rPh>
    <rPh sb="5" eb="7">
      <t>オチ</t>
    </rPh>
    <rPh sb="8" eb="10">
      <t>ヒデアキ</t>
    </rPh>
    <phoneticPr fontId="2"/>
  </si>
  <si>
    <t>田中　清子</t>
    <rPh sb="0" eb="2">
      <t>タナカ</t>
    </rPh>
    <rPh sb="3" eb="5">
      <t>キヨコ</t>
    </rPh>
    <phoneticPr fontId="2"/>
  </si>
  <si>
    <t>高取　秋野</t>
    <rPh sb="0" eb="2">
      <t>タカトリ</t>
    </rPh>
    <rPh sb="3" eb="5">
      <t>アキノ</t>
    </rPh>
    <phoneticPr fontId="2"/>
  </si>
  <si>
    <t>小野　千恵子</t>
    <rPh sb="0" eb="2">
      <t>オノ</t>
    </rPh>
    <rPh sb="3" eb="6">
      <t>チエコ</t>
    </rPh>
    <phoneticPr fontId="2"/>
  </si>
  <si>
    <t>後藤　孝子</t>
    <rPh sb="0" eb="2">
      <t>ゴトウ</t>
    </rPh>
    <rPh sb="3" eb="5">
      <t>タカコ</t>
    </rPh>
    <phoneticPr fontId="6"/>
  </si>
  <si>
    <t>牟田　津代子</t>
    <rPh sb="0" eb="2">
      <t>ムタ</t>
    </rPh>
    <rPh sb="3" eb="6">
      <t>ツヨコ</t>
    </rPh>
    <phoneticPr fontId="2"/>
  </si>
  <si>
    <t>能登俊子</t>
    <rPh sb="0" eb="2">
      <t>ノト</t>
    </rPh>
    <rPh sb="2" eb="4">
      <t>トシコ</t>
    </rPh>
    <phoneticPr fontId="2"/>
  </si>
  <si>
    <t>木村ふさ江</t>
    <rPh sb="0" eb="2">
      <t>キムラ</t>
    </rPh>
    <rPh sb="4" eb="5">
      <t>エ</t>
    </rPh>
    <phoneticPr fontId="2"/>
  </si>
  <si>
    <t>徳重　悦子</t>
    <rPh sb="0" eb="2">
      <t>トクシゲ</t>
    </rPh>
    <rPh sb="3" eb="5">
      <t>エツコ</t>
    </rPh>
    <phoneticPr fontId="2"/>
  </si>
  <si>
    <t>松田　脩</t>
    <rPh sb="0" eb="2">
      <t>マツダ</t>
    </rPh>
    <rPh sb="3" eb="4">
      <t>オサメル</t>
    </rPh>
    <phoneticPr fontId="2"/>
  </si>
  <si>
    <t>山本　始子</t>
    <rPh sb="0" eb="2">
      <t>ヤマモト</t>
    </rPh>
    <rPh sb="3" eb="4">
      <t>ハジメ</t>
    </rPh>
    <rPh sb="4" eb="5">
      <t>コ</t>
    </rPh>
    <phoneticPr fontId="2"/>
  </si>
  <si>
    <t>川原　啓嗣</t>
    <rPh sb="0" eb="2">
      <t>カワハラ</t>
    </rPh>
    <rPh sb="3" eb="4">
      <t>ケイ</t>
    </rPh>
    <rPh sb="4" eb="5">
      <t>シ</t>
    </rPh>
    <phoneticPr fontId="6"/>
  </si>
  <si>
    <t>中出　房枝</t>
    <rPh sb="0" eb="2">
      <t>ナカデ</t>
    </rPh>
    <rPh sb="3" eb="5">
      <t>フサエ</t>
    </rPh>
    <phoneticPr fontId="2"/>
  </si>
  <si>
    <t>小寺　泰榮</t>
    <rPh sb="0" eb="2">
      <t>コテラ</t>
    </rPh>
    <rPh sb="3" eb="4">
      <t>ヤスシ</t>
    </rPh>
    <rPh sb="4" eb="5">
      <t>サカエ</t>
    </rPh>
    <phoneticPr fontId="6"/>
  </si>
  <si>
    <t>岡田　弘子</t>
    <rPh sb="0" eb="2">
      <t>オカダ</t>
    </rPh>
    <rPh sb="3" eb="5">
      <t>ヒロコ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</si>
</sst>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13">
    <font>
      <sz val="11"/>
      <color theme="1"/>
      <name val="Yu Gothic"/>
      <family val="2"/>
      <scheme val="minor"/>
    </font>
    <font>
      <b/>
      <sz val="22"/>
      <color theme="1"/>
      <name val="AR P明朝体L"/>
      <family val="1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AR P明朝体L"/>
      <family val="1"/>
      <charset val="128"/>
    </font>
    <font>
      <b/>
      <sz val="16"/>
      <color theme="1"/>
      <name val="AR P明朝体L"/>
      <family val="1"/>
      <charset val="128"/>
    </font>
    <font>
      <b/>
      <sz val="12"/>
      <color theme="1"/>
      <name val="AR P明朝体L"/>
      <family val="1"/>
      <charset val="128"/>
    </font>
    <font>
      <sz val="6"/>
      <name val="Yu Gothic"/>
      <family val="2"/>
      <charset val="128"/>
      <scheme val="minor"/>
    </font>
    <font>
      <b/>
      <sz val="18"/>
      <color theme="1"/>
      <name val="AR P明朝体L"/>
      <family val="1"/>
      <charset val="128"/>
    </font>
    <font>
      <b/>
      <sz val="9"/>
      <color theme="1"/>
      <name val="AR P明朝体L"/>
      <family val="1"/>
      <charset val="128"/>
    </font>
    <font>
      <b/>
      <sz val="14"/>
      <color theme="1"/>
      <name val="AR P明朝体L"/>
      <family val="1"/>
      <charset val="128"/>
    </font>
    <font>
      <b/>
      <sz val="16"/>
      <name val="AR P明朝体L"/>
      <family val="1"/>
      <charset val="128"/>
    </font>
    <font>
      <b/>
      <sz val="10"/>
      <color theme="1"/>
      <name val="AR P明朝体L"/>
      <family val="1"/>
      <charset val="128"/>
    </font>
    <font>
      <b/>
      <sz val="6"/>
      <color theme="1"/>
      <name val="AR P明朝体L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8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vertical="center" shrinkToFit="1"/>
    </xf>
    <xf numFmtId="0" fontId="4" fillId="3" borderId="9" xfId="0" applyFont="1" applyFill="1" applyBorder="1" applyAlignment="1">
      <alignment horizontal="center" vertical="center" shrinkToFit="1"/>
    </xf>
    <xf numFmtId="0" fontId="8" fillId="9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 shrinkToFit="1"/>
    </xf>
    <xf numFmtId="0" fontId="9" fillId="3" borderId="9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 shrinkToFit="1"/>
    </xf>
    <xf numFmtId="0" fontId="4" fillId="3" borderId="14" xfId="0" applyFont="1" applyFill="1" applyBorder="1" applyAlignment="1">
      <alignment horizontal="center" vertical="center" shrinkToFit="1"/>
    </xf>
    <xf numFmtId="0" fontId="3" fillId="3" borderId="0" xfId="0" applyFont="1" applyFill="1" applyAlignment="1">
      <alignment horizontal="center" vertical="center" textRotation="255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10" borderId="6" xfId="0" applyFont="1" applyFill="1" applyBorder="1" applyAlignment="1">
      <alignment horizontal="left" vertical="center"/>
    </xf>
    <xf numFmtId="0" fontId="7" fillId="10" borderId="18" xfId="0" applyFont="1" applyFill="1" applyBorder="1" applyAlignment="1">
      <alignment horizontal="left" vertical="center"/>
    </xf>
    <xf numFmtId="0" fontId="7" fillId="10" borderId="19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 shrinkToFit="1"/>
    </xf>
    <xf numFmtId="0" fontId="4" fillId="3" borderId="9" xfId="0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 textRotation="255"/>
    </xf>
    <xf numFmtId="0" fontId="7" fillId="3" borderId="0" xfId="0" applyFont="1" applyFill="1" applyAlignment="1">
      <alignment horizontal="center" vertical="top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 shrinkToFit="1"/>
    </xf>
    <xf numFmtId="0" fontId="4" fillId="3" borderId="0" xfId="0" applyFont="1" applyFill="1" applyAlignment="1">
      <alignment horizontal="center" vertical="center" shrinkToFit="1"/>
    </xf>
    <xf numFmtId="0" fontId="11" fillId="3" borderId="0" xfId="0" applyFont="1" applyFill="1" applyAlignment="1">
      <alignment horizontal="center" vertical="center" textRotation="255"/>
    </xf>
    <xf numFmtId="0" fontId="12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 shrinkToFit="1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4" borderId="10" xfId="0" applyFont="1" applyFill="1" applyBorder="1" applyAlignment="1">
      <alignment horizontal="center" vertical="top"/>
    </xf>
    <xf numFmtId="0" fontId="7" fillId="4" borderId="11" xfId="0" applyFont="1" applyFill="1" applyBorder="1" applyAlignment="1">
      <alignment horizontal="center" vertical="top"/>
    </xf>
    <xf numFmtId="0" fontId="7" fillId="14" borderId="10" xfId="0" applyFont="1" applyFill="1" applyBorder="1" applyAlignment="1">
      <alignment horizontal="center" vertical="top"/>
    </xf>
    <xf numFmtId="0" fontId="7" fillId="14" borderId="11" xfId="0" applyFont="1" applyFill="1" applyBorder="1" applyAlignment="1">
      <alignment horizontal="center" vertical="top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255"/>
    </xf>
    <xf numFmtId="0" fontId="7" fillId="5" borderId="7" xfId="0" applyFont="1" applyFill="1" applyBorder="1" applyAlignment="1">
      <alignment horizontal="center" vertical="center" textRotation="255"/>
    </xf>
    <xf numFmtId="0" fontId="7" fillId="5" borderId="10" xfId="0" applyFont="1" applyFill="1" applyBorder="1" applyAlignment="1">
      <alignment horizontal="center" vertical="center" textRotation="255"/>
    </xf>
    <xf numFmtId="0" fontId="7" fillId="6" borderId="7" xfId="0" applyFont="1" applyFill="1" applyBorder="1" applyAlignment="1">
      <alignment horizontal="center" vertical="center" textRotation="255"/>
    </xf>
    <xf numFmtId="0" fontId="7" fillId="6" borderId="10" xfId="0" applyFont="1" applyFill="1" applyBorder="1" applyAlignment="1">
      <alignment horizontal="center" vertical="center" textRotation="255"/>
    </xf>
    <xf numFmtId="0" fontId="7" fillId="4" borderId="7" xfId="0" applyFont="1" applyFill="1" applyBorder="1" applyAlignment="1">
      <alignment horizontal="center" vertical="center" textRotation="255"/>
    </xf>
    <xf numFmtId="0" fontId="7" fillId="4" borderId="10" xfId="0" applyFont="1" applyFill="1" applyBorder="1" applyAlignment="1">
      <alignment horizontal="center" vertical="center" textRotation="255"/>
    </xf>
    <xf numFmtId="0" fontId="7" fillId="14" borderId="7" xfId="0" applyFont="1" applyFill="1" applyBorder="1" applyAlignment="1">
      <alignment horizontal="center" vertical="center" textRotation="255"/>
    </xf>
    <xf numFmtId="0" fontId="7" fillId="14" borderId="10" xfId="0" applyFont="1" applyFill="1" applyBorder="1" applyAlignment="1">
      <alignment horizontal="center" vertical="center" textRotation="255"/>
    </xf>
    <xf numFmtId="0" fontId="7" fillId="5" borderId="10" xfId="0" applyFont="1" applyFill="1" applyBorder="1" applyAlignment="1">
      <alignment horizontal="center" vertical="top"/>
    </xf>
    <xf numFmtId="0" fontId="7" fillId="5" borderId="11" xfId="0" applyFont="1" applyFill="1" applyBorder="1" applyAlignment="1">
      <alignment horizontal="center" vertical="top"/>
    </xf>
    <xf numFmtId="0" fontId="7" fillId="6" borderId="10" xfId="0" applyFont="1" applyFill="1" applyBorder="1" applyAlignment="1">
      <alignment horizontal="center" vertical="top"/>
    </xf>
    <xf numFmtId="0" fontId="7" fillId="6" borderId="11" xfId="0" applyFont="1" applyFill="1" applyBorder="1" applyAlignment="1">
      <alignment horizontal="center" vertical="top"/>
    </xf>
    <xf numFmtId="0" fontId="5" fillId="0" borderId="6" xfId="0" applyFont="1" applyBorder="1" applyAlignment="1">
      <alignment horizontal="center" vertical="center" textRotation="255"/>
    </xf>
    <xf numFmtId="0" fontId="7" fillId="11" borderId="7" xfId="0" applyFont="1" applyFill="1" applyBorder="1" applyAlignment="1">
      <alignment horizontal="center" vertical="center" textRotation="255"/>
    </xf>
    <xf numFmtId="0" fontId="7" fillId="11" borderId="10" xfId="0" applyFont="1" applyFill="1" applyBorder="1" applyAlignment="1">
      <alignment horizontal="center" vertical="center" textRotation="255"/>
    </xf>
    <xf numFmtId="0" fontId="7" fillId="12" borderId="7" xfId="0" applyFont="1" applyFill="1" applyBorder="1" applyAlignment="1">
      <alignment horizontal="center" vertical="center" textRotation="255"/>
    </xf>
    <xf numFmtId="0" fontId="7" fillId="12" borderId="10" xfId="0" applyFont="1" applyFill="1" applyBorder="1" applyAlignment="1">
      <alignment horizontal="center" vertical="center" textRotation="255"/>
    </xf>
    <xf numFmtId="0" fontId="7" fillId="13" borderId="7" xfId="0" applyFont="1" applyFill="1" applyBorder="1" applyAlignment="1">
      <alignment horizontal="center" vertical="center" textRotation="255"/>
    </xf>
    <xf numFmtId="0" fontId="7" fillId="13" borderId="10" xfId="0" applyFont="1" applyFill="1" applyBorder="1" applyAlignment="1">
      <alignment horizontal="center" vertical="center" textRotation="255"/>
    </xf>
    <xf numFmtId="0" fontId="7" fillId="11" borderId="10" xfId="0" applyFont="1" applyFill="1" applyBorder="1" applyAlignment="1">
      <alignment horizontal="center" vertical="top"/>
    </xf>
    <xf numFmtId="0" fontId="7" fillId="11" borderId="11" xfId="0" applyFont="1" applyFill="1" applyBorder="1" applyAlignment="1">
      <alignment horizontal="center" vertical="top"/>
    </xf>
    <xf numFmtId="0" fontId="7" fillId="12" borderId="10" xfId="0" applyFont="1" applyFill="1" applyBorder="1" applyAlignment="1">
      <alignment horizontal="center" vertical="top"/>
    </xf>
    <xf numFmtId="0" fontId="7" fillId="12" borderId="11" xfId="0" applyFont="1" applyFill="1" applyBorder="1" applyAlignment="1">
      <alignment horizontal="center" vertical="top"/>
    </xf>
    <xf numFmtId="0" fontId="7" fillId="13" borderId="10" xfId="0" applyFont="1" applyFill="1" applyBorder="1" applyAlignment="1">
      <alignment horizontal="center" vertical="top"/>
    </xf>
    <xf numFmtId="0" fontId="7" fillId="13" borderId="1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7" borderId="10" xfId="0" applyFont="1" applyFill="1" applyBorder="1" applyAlignment="1">
      <alignment horizontal="center" vertical="top" wrapText="1"/>
    </xf>
    <xf numFmtId="0" fontId="7" fillId="7" borderId="11" xfId="0" applyFont="1" applyFill="1" applyBorder="1" applyAlignment="1">
      <alignment horizontal="center" vertical="top" wrapText="1"/>
    </xf>
    <xf numFmtId="0" fontId="7" fillId="8" borderId="10" xfId="0" applyFont="1" applyFill="1" applyBorder="1" applyAlignment="1">
      <alignment horizontal="center" vertical="top" wrapText="1"/>
    </xf>
    <xf numFmtId="0" fontId="7" fillId="8" borderId="11" xfId="0" applyFont="1" applyFill="1" applyBorder="1" applyAlignment="1">
      <alignment horizontal="center" vertical="top" wrapText="1"/>
    </xf>
    <xf numFmtId="0" fontId="7" fillId="6" borderId="10" xfId="0" applyFont="1" applyFill="1" applyBorder="1" applyAlignment="1">
      <alignment horizontal="center" vertical="top" wrapText="1"/>
    </xf>
    <xf numFmtId="0" fontId="7" fillId="6" borderId="11" xfId="0" applyFont="1" applyFill="1" applyBorder="1" applyAlignment="1">
      <alignment horizontal="center" vertical="top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horizontal="center" vertical="top" wrapText="1"/>
    </xf>
    <xf numFmtId="0" fontId="7" fillId="4" borderId="10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57"/>
  <sheetViews>
    <sheetView tabSelected="1" topLeftCell="A36" zoomScale="55" zoomScaleNormal="55" workbookViewId="0">
      <selection activeCell="X44" sqref="X44"/>
    </sheetView>
  </sheetViews>
  <sheetFormatPr defaultColWidth="9" defaultRowHeight="19.2"/>
  <cols>
    <col min="1" max="1" width="5" style="2" bestFit="1" customWidth="1"/>
    <col min="2" max="2" width="8.59765625" style="2" customWidth="1"/>
    <col min="3" max="3" width="6.59765625" style="2" customWidth="1"/>
    <col min="4" max="4" width="20.8984375" style="37" bestFit="1" customWidth="1"/>
    <col min="5" max="6" width="6.3984375" style="37" customWidth="1"/>
    <col min="7" max="7" width="8.59765625" style="2" customWidth="1"/>
    <col min="8" max="8" width="6.59765625" style="2" customWidth="1"/>
    <col min="9" max="9" width="21" style="2" customWidth="1"/>
    <col min="10" max="10" width="6.3984375" style="2" customWidth="1"/>
    <col min="11" max="11" width="6.3984375" style="37" customWidth="1"/>
    <col min="12" max="12" width="8.59765625" style="2" customWidth="1"/>
    <col min="13" max="13" width="6.59765625" style="2" customWidth="1"/>
    <col min="14" max="14" width="20.8984375" style="2" bestFit="1" customWidth="1"/>
    <col min="15" max="15" width="6.5" style="2" customWidth="1"/>
    <col min="16" max="16" width="6.5" style="37" customWidth="1"/>
    <col min="17" max="17" width="9" style="2"/>
    <col min="18" max="18" width="6.59765625" style="2" customWidth="1"/>
    <col min="19" max="19" width="20.8984375" style="2" bestFit="1" customWidth="1"/>
    <col min="20" max="20" width="6.59765625" style="2" customWidth="1"/>
    <col min="21" max="21" width="6.59765625" style="37" customWidth="1"/>
    <col min="22" max="16384" width="9" style="2"/>
  </cols>
  <sheetData>
    <row r="1" spans="1:21" ht="25.8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</row>
    <row r="2" spans="1:21" ht="26.4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7.75" customHeight="1">
      <c r="A3" s="3"/>
      <c r="B3" s="125" t="s">
        <v>1</v>
      </c>
      <c r="C3" s="79"/>
      <c r="D3" s="4" t="s">
        <v>2</v>
      </c>
      <c r="E3" s="79" t="s">
        <v>136</v>
      </c>
      <c r="F3" s="80"/>
      <c r="G3" s="125" t="s">
        <v>1</v>
      </c>
      <c r="H3" s="79"/>
      <c r="I3" s="4" t="s">
        <v>173</v>
      </c>
      <c r="J3" s="79" t="s">
        <v>136</v>
      </c>
      <c r="K3" s="80"/>
      <c r="L3" s="5"/>
      <c r="M3" s="5"/>
      <c r="P3" s="6"/>
      <c r="S3" s="126">
        <v>46211</v>
      </c>
      <c r="T3" s="126"/>
      <c r="U3" s="126"/>
    </row>
    <row r="4" spans="1:21" ht="27" customHeight="1">
      <c r="A4" s="94" t="s">
        <v>4</v>
      </c>
      <c r="B4" s="127" t="s">
        <v>5</v>
      </c>
      <c r="C4" s="7">
        <v>101</v>
      </c>
      <c r="D4" s="8" t="s">
        <v>178</v>
      </c>
      <c r="E4" s="59"/>
      <c r="F4" s="60"/>
      <c r="G4" s="129" t="s">
        <v>6</v>
      </c>
      <c r="H4" s="7">
        <v>101</v>
      </c>
      <c r="I4" s="10" t="s">
        <v>7</v>
      </c>
      <c r="J4" s="59"/>
      <c r="K4" s="60"/>
      <c r="P4" s="2"/>
      <c r="U4" s="2"/>
    </row>
    <row r="5" spans="1:21" ht="27" customHeight="1">
      <c r="A5" s="94"/>
      <c r="B5" s="128"/>
      <c r="C5" s="7">
        <v>102</v>
      </c>
      <c r="D5" s="8" t="s">
        <v>142</v>
      </c>
      <c r="E5" s="59"/>
      <c r="F5" s="60"/>
      <c r="G5" s="130"/>
      <c r="H5" s="7">
        <v>102</v>
      </c>
      <c r="I5" s="10" t="s">
        <v>8</v>
      </c>
      <c r="J5" s="59"/>
      <c r="K5" s="60"/>
      <c r="L5" s="5"/>
      <c r="P5" s="2"/>
      <c r="U5" s="2"/>
    </row>
    <row r="6" spans="1:21" ht="27" customHeight="1">
      <c r="A6" s="94"/>
      <c r="B6" s="128"/>
      <c r="C6" s="20">
        <v>103</v>
      </c>
      <c r="D6" s="8" t="s">
        <v>9</v>
      </c>
      <c r="E6" s="59" t="s">
        <v>40</v>
      </c>
      <c r="F6" s="60"/>
      <c r="G6" s="130"/>
      <c r="H6" s="7">
        <v>103</v>
      </c>
      <c r="I6" s="10" t="s">
        <v>187</v>
      </c>
      <c r="J6" s="59"/>
      <c r="K6" s="60"/>
      <c r="P6" s="2"/>
      <c r="U6" s="2"/>
    </row>
    <row r="7" spans="1:21" ht="27" customHeight="1">
      <c r="A7" s="94"/>
      <c r="B7" s="128"/>
      <c r="C7" s="7">
        <v>105</v>
      </c>
      <c r="D7" s="8" t="s">
        <v>145</v>
      </c>
      <c r="E7" s="59"/>
      <c r="F7" s="60"/>
      <c r="G7" s="130"/>
      <c r="H7" s="7">
        <v>105</v>
      </c>
      <c r="I7" s="10" t="s">
        <v>11</v>
      </c>
      <c r="J7" s="59"/>
      <c r="K7" s="60"/>
      <c r="L7" s="5"/>
      <c r="M7" s="5"/>
      <c r="P7" s="2"/>
      <c r="U7" s="2"/>
    </row>
    <row r="8" spans="1:21" ht="27" customHeight="1">
      <c r="A8" s="94"/>
      <c r="B8" s="128"/>
      <c r="C8" s="11">
        <v>106</v>
      </c>
      <c r="D8" s="8" t="s">
        <v>162</v>
      </c>
      <c r="E8" s="59"/>
      <c r="F8" s="60"/>
      <c r="G8" s="130"/>
      <c r="H8" s="7">
        <v>106</v>
      </c>
      <c r="I8" s="10" t="s">
        <v>12</v>
      </c>
      <c r="J8" s="75"/>
      <c r="K8" s="76"/>
      <c r="L8" s="5"/>
      <c r="M8" s="5"/>
      <c r="P8" s="2"/>
      <c r="U8" s="2"/>
    </row>
    <row r="9" spans="1:21" ht="27" customHeight="1">
      <c r="A9" s="94"/>
      <c r="B9" s="128"/>
      <c r="C9" s="7">
        <v>107</v>
      </c>
      <c r="D9" s="8" t="s">
        <v>13</v>
      </c>
      <c r="E9" s="59"/>
      <c r="F9" s="60"/>
      <c r="G9" s="130"/>
      <c r="H9" s="7">
        <v>107</v>
      </c>
      <c r="I9" s="10" t="s">
        <v>14</v>
      </c>
      <c r="J9" s="59"/>
      <c r="K9" s="60"/>
      <c r="L9" s="5"/>
      <c r="M9" s="5"/>
      <c r="P9" s="2"/>
      <c r="U9" s="2"/>
    </row>
    <row r="10" spans="1:21" ht="27" customHeight="1">
      <c r="A10" s="94"/>
      <c r="B10" s="128"/>
      <c r="C10" s="7">
        <v>108</v>
      </c>
      <c r="D10" s="8" t="s">
        <v>149</v>
      </c>
      <c r="E10" s="75"/>
      <c r="F10" s="76"/>
      <c r="G10" s="130"/>
      <c r="H10" s="7">
        <v>108</v>
      </c>
      <c r="I10" s="10" t="s">
        <v>16</v>
      </c>
      <c r="J10" s="59" t="s">
        <v>17</v>
      </c>
      <c r="K10" s="60"/>
      <c r="L10" s="5"/>
      <c r="M10" s="5"/>
      <c r="P10" s="2"/>
      <c r="U10" s="2"/>
    </row>
    <row r="11" spans="1:21" ht="27" customHeight="1">
      <c r="A11" s="94"/>
      <c r="B11" s="131">
        <v>401</v>
      </c>
      <c r="C11" s="7">
        <v>110</v>
      </c>
      <c r="D11" s="8" t="s">
        <v>18</v>
      </c>
      <c r="E11" s="59"/>
      <c r="F11" s="60"/>
      <c r="G11" s="133">
        <v>403</v>
      </c>
      <c r="H11" s="7">
        <v>110</v>
      </c>
      <c r="I11" s="10" t="s">
        <v>19</v>
      </c>
      <c r="J11" s="59"/>
      <c r="K11" s="60"/>
      <c r="L11" s="5"/>
      <c r="M11" s="5"/>
      <c r="P11" s="2"/>
      <c r="U11" s="2"/>
    </row>
    <row r="12" spans="1:21" ht="27" customHeight="1">
      <c r="A12" s="94"/>
      <c r="B12" s="131"/>
      <c r="C12" s="7">
        <v>111</v>
      </c>
      <c r="D12" s="8" t="s">
        <v>20</v>
      </c>
      <c r="E12" s="59"/>
      <c r="F12" s="60"/>
      <c r="G12" s="133"/>
      <c r="H12" s="7">
        <v>111</v>
      </c>
      <c r="I12" s="10" t="s">
        <v>182</v>
      </c>
      <c r="J12" s="59" t="s">
        <v>10</v>
      </c>
      <c r="K12" s="60"/>
      <c r="L12" s="5"/>
      <c r="M12" s="5"/>
      <c r="P12" s="2"/>
      <c r="U12" s="2"/>
    </row>
    <row r="13" spans="1:21" ht="27" customHeight="1" thickBot="1">
      <c r="A13" s="94"/>
      <c r="B13" s="132"/>
      <c r="C13" s="12">
        <v>108</v>
      </c>
      <c r="D13" s="13" t="s">
        <v>22</v>
      </c>
      <c r="E13" s="73"/>
      <c r="F13" s="74"/>
      <c r="G13" s="134"/>
      <c r="H13" s="15">
        <v>112</v>
      </c>
      <c r="I13" s="16" t="s">
        <v>188</v>
      </c>
      <c r="J13" s="73"/>
      <c r="K13" s="74"/>
      <c r="L13" s="5"/>
      <c r="M13" s="5"/>
      <c r="P13" s="2"/>
      <c r="U13" s="2"/>
    </row>
    <row r="14" spans="1:21" ht="27" customHeight="1" thickBo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5"/>
      <c r="R14" s="5"/>
      <c r="U14" s="17"/>
    </row>
    <row r="15" spans="1:21" ht="27" customHeight="1">
      <c r="A15" s="3"/>
      <c r="B15" s="77" t="s">
        <v>23</v>
      </c>
      <c r="C15" s="78"/>
      <c r="D15" s="4" t="s">
        <v>24</v>
      </c>
      <c r="E15" s="79" t="s">
        <v>136</v>
      </c>
      <c r="F15" s="80"/>
      <c r="G15" s="77" t="s">
        <v>176</v>
      </c>
      <c r="H15" s="78"/>
      <c r="I15" s="4" t="s">
        <v>24</v>
      </c>
      <c r="J15" s="79" t="s">
        <v>25</v>
      </c>
      <c r="K15" s="80"/>
      <c r="L15" s="77" t="s">
        <v>23</v>
      </c>
      <c r="M15" s="78"/>
      <c r="N15" s="4" t="s">
        <v>3</v>
      </c>
      <c r="O15" s="79" t="s">
        <v>154</v>
      </c>
      <c r="P15" s="80"/>
      <c r="Q15" s="77" t="s">
        <v>23</v>
      </c>
      <c r="R15" s="78"/>
      <c r="S15" s="4" t="s">
        <v>3</v>
      </c>
      <c r="T15" s="79" t="s">
        <v>151</v>
      </c>
      <c r="U15" s="80"/>
    </row>
    <row r="16" spans="1:21" ht="27" customHeight="1">
      <c r="A16" s="81" t="s">
        <v>26</v>
      </c>
      <c r="B16" s="115" t="s">
        <v>27</v>
      </c>
      <c r="C16" s="7">
        <v>201</v>
      </c>
      <c r="D16" s="10" t="s">
        <v>28</v>
      </c>
      <c r="E16" s="59"/>
      <c r="F16" s="60"/>
      <c r="G16" s="117" t="s">
        <v>29</v>
      </c>
      <c r="H16" s="7">
        <v>201</v>
      </c>
      <c r="I16" s="10" t="s">
        <v>30</v>
      </c>
      <c r="J16" s="59"/>
      <c r="K16" s="60"/>
      <c r="L16" s="119" t="s">
        <v>31</v>
      </c>
      <c r="M16" s="7">
        <v>201</v>
      </c>
      <c r="N16" s="10" t="s">
        <v>32</v>
      </c>
      <c r="O16" s="8"/>
      <c r="P16" s="9"/>
      <c r="Q16" s="121" t="s">
        <v>33</v>
      </c>
      <c r="R16" s="7">
        <v>201</v>
      </c>
      <c r="S16" s="10" t="s">
        <v>34</v>
      </c>
      <c r="T16" s="18"/>
      <c r="U16" s="19" t="s">
        <v>153</v>
      </c>
    </row>
    <row r="17" spans="1:21" ht="27" customHeight="1">
      <c r="A17" s="81"/>
      <c r="B17" s="116"/>
      <c r="C17" s="7">
        <v>202</v>
      </c>
      <c r="D17" s="10" t="s">
        <v>35</v>
      </c>
      <c r="E17" s="59"/>
      <c r="F17" s="60"/>
      <c r="G17" s="118"/>
      <c r="H17" s="7">
        <v>202</v>
      </c>
      <c r="I17" s="10" t="s">
        <v>36</v>
      </c>
      <c r="J17" s="59" t="s">
        <v>37</v>
      </c>
      <c r="K17" s="60"/>
      <c r="L17" s="120"/>
      <c r="M17" s="11">
        <v>202</v>
      </c>
      <c r="N17" s="10" t="s">
        <v>169</v>
      </c>
      <c r="O17" s="8"/>
      <c r="P17" s="9"/>
      <c r="Q17" s="122"/>
      <c r="R17" s="7">
        <v>202</v>
      </c>
      <c r="S17" s="10" t="s">
        <v>147</v>
      </c>
      <c r="T17" s="18" t="s">
        <v>37</v>
      </c>
      <c r="U17" s="19" t="s">
        <v>152</v>
      </c>
    </row>
    <row r="18" spans="1:21" ht="27" customHeight="1">
      <c r="A18" s="81"/>
      <c r="B18" s="116"/>
      <c r="C18" s="7">
        <v>203</v>
      </c>
      <c r="D18" s="10" t="s">
        <v>38</v>
      </c>
      <c r="E18" s="59"/>
      <c r="F18" s="60"/>
      <c r="G18" s="118"/>
      <c r="H18" s="20">
        <v>203</v>
      </c>
      <c r="I18" s="10" t="s">
        <v>39</v>
      </c>
      <c r="J18" s="59" t="s">
        <v>40</v>
      </c>
      <c r="K18" s="60"/>
      <c r="L18" s="120"/>
      <c r="M18" s="7">
        <v>203</v>
      </c>
      <c r="N18" s="10" t="s">
        <v>179</v>
      </c>
      <c r="O18" s="8"/>
      <c r="P18" s="9"/>
      <c r="Q18" s="122"/>
      <c r="R18" s="7">
        <v>203</v>
      </c>
      <c r="S18" s="10" t="s">
        <v>41</v>
      </c>
      <c r="T18" s="18"/>
      <c r="U18" s="19" t="s">
        <v>152</v>
      </c>
    </row>
    <row r="19" spans="1:21" ht="27" customHeight="1">
      <c r="A19" s="81"/>
      <c r="B19" s="116"/>
      <c r="C19" s="7">
        <v>205</v>
      </c>
      <c r="D19" s="10" t="s">
        <v>42</v>
      </c>
      <c r="E19" s="59"/>
      <c r="F19" s="60"/>
      <c r="G19" s="118"/>
      <c r="H19" s="7">
        <v>205</v>
      </c>
      <c r="I19" s="10" t="s">
        <v>43</v>
      </c>
      <c r="J19" s="59"/>
      <c r="K19" s="60"/>
      <c r="L19" s="120"/>
      <c r="M19" s="7">
        <v>205</v>
      </c>
      <c r="N19" s="10" t="s">
        <v>44</v>
      </c>
      <c r="O19" s="8"/>
      <c r="P19" s="9"/>
      <c r="Q19" s="122"/>
      <c r="R19" s="7">
        <v>205</v>
      </c>
      <c r="S19" s="10" t="s">
        <v>166</v>
      </c>
      <c r="T19" s="18" t="s">
        <v>59</v>
      </c>
      <c r="U19" s="19" t="s">
        <v>152</v>
      </c>
    </row>
    <row r="20" spans="1:21" ht="27" customHeight="1">
      <c r="A20" s="81"/>
      <c r="B20" s="116"/>
      <c r="C20" s="7">
        <v>206</v>
      </c>
      <c r="D20" s="10" t="s">
        <v>141</v>
      </c>
      <c r="E20" s="59" t="s">
        <v>37</v>
      </c>
      <c r="F20" s="60"/>
      <c r="G20" s="118"/>
      <c r="H20" s="7">
        <v>206</v>
      </c>
      <c r="I20" s="10" t="s">
        <v>45</v>
      </c>
      <c r="J20" s="59" t="s">
        <v>10</v>
      </c>
      <c r="K20" s="60"/>
      <c r="L20" s="120"/>
      <c r="M20" s="20">
        <v>206</v>
      </c>
      <c r="N20" s="10" t="s">
        <v>157</v>
      </c>
      <c r="O20" s="8" t="s">
        <v>40</v>
      </c>
      <c r="P20" s="9" t="s">
        <v>15</v>
      </c>
      <c r="Q20" s="122"/>
      <c r="R20" s="7">
        <v>206</v>
      </c>
      <c r="S20" s="10" t="s">
        <v>146</v>
      </c>
      <c r="T20" s="18" t="s">
        <v>37</v>
      </c>
      <c r="U20" s="19" t="s">
        <v>152</v>
      </c>
    </row>
    <row r="21" spans="1:21" ht="27" customHeight="1">
      <c r="A21" s="81"/>
      <c r="B21" s="116"/>
      <c r="C21" s="7">
        <v>207</v>
      </c>
      <c r="D21" s="10" t="s">
        <v>46</v>
      </c>
      <c r="E21" s="59"/>
      <c r="F21" s="60"/>
      <c r="G21" s="118"/>
      <c r="H21" s="7">
        <v>207</v>
      </c>
      <c r="I21" s="10" t="s">
        <v>47</v>
      </c>
      <c r="J21" s="59"/>
      <c r="K21" s="60"/>
      <c r="L21" s="120"/>
      <c r="M21" s="7">
        <v>207</v>
      </c>
      <c r="N21" s="21" t="s">
        <v>48</v>
      </c>
      <c r="O21" s="8"/>
      <c r="P21" s="22"/>
      <c r="Q21" s="122"/>
      <c r="R21" s="7">
        <v>207</v>
      </c>
      <c r="S21" s="10" t="s">
        <v>167</v>
      </c>
      <c r="T21" s="18"/>
      <c r="U21" s="19" t="s">
        <v>153</v>
      </c>
    </row>
    <row r="22" spans="1:21" ht="27" customHeight="1">
      <c r="A22" s="81"/>
      <c r="B22" s="116"/>
      <c r="C22" s="7">
        <v>208</v>
      </c>
      <c r="D22" s="10" t="s">
        <v>163</v>
      </c>
      <c r="E22" s="59"/>
      <c r="F22" s="60"/>
      <c r="G22" s="118"/>
      <c r="H22" s="7">
        <v>208</v>
      </c>
      <c r="I22" s="23" t="s">
        <v>49</v>
      </c>
      <c r="J22" s="59"/>
      <c r="K22" s="60"/>
      <c r="L22" s="120"/>
      <c r="M22" s="7">
        <v>208</v>
      </c>
      <c r="N22" s="10" t="s">
        <v>50</v>
      </c>
      <c r="O22" s="8"/>
      <c r="P22" s="9"/>
      <c r="Q22" s="122"/>
      <c r="R22" s="7">
        <v>208</v>
      </c>
      <c r="S22" s="10" t="s">
        <v>51</v>
      </c>
      <c r="T22" s="18"/>
      <c r="U22" s="19" t="s">
        <v>153</v>
      </c>
    </row>
    <row r="23" spans="1:21" ht="27" customHeight="1">
      <c r="A23" s="81"/>
      <c r="B23" s="123">
        <v>701</v>
      </c>
      <c r="C23" s="7">
        <v>210</v>
      </c>
      <c r="D23" s="10" t="s">
        <v>164</v>
      </c>
      <c r="E23" s="59"/>
      <c r="F23" s="60"/>
      <c r="G23" s="113">
        <v>703</v>
      </c>
      <c r="H23" s="7">
        <v>210</v>
      </c>
      <c r="I23" s="10" t="s">
        <v>52</v>
      </c>
      <c r="J23" s="59"/>
      <c r="K23" s="60"/>
      <c r="L23" s="109">
        <v>601</v>
      </c>
      <c r="M23" s="7">
        <v>210</v>
      </c>
      <c r="N23" s="10" t="s">
        <v>165</v>
      </c>
      <c r="O23" s="18" t="s">
        <v>59</v>
      </c>
      <c r="P23" s="22"/>
      <c r="Q23" s="111">
        <v>603</v>
      </c>
      <c r="R23" s="7">
        <v>210</v>
      </c>
      <c r="S23" s="10" t="s">
        <v>168</v>
      </c>
      <c r="T23" s="18"/>
      <c r="U23" s="19" t="s">
        <v>152</v>
      </c>
    </row>
    <row r="24" spans="1:21" ht="27" customHeight="1">
      <c r="A24" s="81"/>
      <c r="B24" s="123"/>
      <c r="C24" s="11">
        <v>211</v>
      </c>
      <c r="D24" s="10" t="s">
        <v>140</v>
      </c>
      <c r="E24" s="59" t="s">
        <v>37</v>
      </c>
      <c r="F24" s="60"/>
      <c r="G24" s="113"/>
      <c r="H24" s="7">
        <v>211</v>
      </c>
      <c r="I24" s="10" t="s">
        <v>53</v>
      </c>
      <c r="J24" s="59"/>
      <c r="K24" s="60"/>
      <c r="L24" s="109"/>
      <c r="M24" s="7">
        <v>211</v>
      </c>
      <c r="N24" s="10" t="s">
        <v>183</v>
      </c>
      <c r="O24" s="8"/>
      <c r="P24" s="9"/>
      <c r="Q24" s="111"/>
      <c r="R24" s="7">
        <v>211</v>
      </c>
      <c r="S24" s="10" t="s">
        <v>186</v>
      </c>
      <c r="T24" s="18"/>
      <c r="U24" s="19" t="s">
        <v>153</v>
      </c>
    </row>
    <row r="25" spans="1:21" ht="27" customHeight="1" thickBot="1">
      <c r="A25" s="81"/>
      <c r="B25" s="124"/>
      <c r="C25" s="15">
        <v>212</v>
      </c>
      <c r="D25" s="16" t="s">
        <v>54</v>
      </c>
      <c r="E25" s="73"/>
      <c r="F25" s="74"/>
      <c r="G25" s="114"/>
      <c r="H25" s="15">
        <v>212</v>
      </c>
      <c r="I25" s="16" t="s">
        <v>55</v>
      </c>
      <c r="J25" s="73"/>
      <c r="K25" s="74"/>
      <c r="L25" s="110"/>
      <c r="M25" s="12">
        <v>212</v>
      </c>
      <c r="N25" s="16" t="s">
        <v>170</v>
      </c>
      <c r="O25" s="13"/>
      <c r="P25" s="14"/>
      <c r="Q25" s="112"/>
      <c r="R25" s="15">
        <v>212</v>
      </c>
      <c r="S25" s="16" t="s">
        <v>56</v>
      </c>
      <c r="T25" s="24"/>
      <c r="U25" s="25" t="s">
        <v>153</v>
      </c>
    </row>
    <row r="26" spans="1:21" ht="27.75" customHeight="1" thickBot="1">
      <c r="A26" s="26"/>
      <c r="B26" s="27"/>
      <c r="C26" s="28"/>
      <c r="D26" s="29"/>
      <c r="E26" s="29"/>
      <c r="F26" s="29"/>
      <c r="G26" s="27"/>
      <c r="H26" s="28"/>
      <c r="I26" s="29"/>
      <c r="J26" s="29"/>
      <c r="K26" s="29"/>
      <c r="L26" s="27"/>
      <c r="M26" s="28"/>
      <c r="N26" s="29"/>
      <c r="O26" s="29"/>
      <c r="P26" s="29"/>
      <c r="Q26" s="27"/>
      <c r="R26" s="28"/>
      <c r="S26" s="29"/>
      <c r="T26" s="29"/>
      <c r="U26" s="29"/>
    </row>
    <row r="27" spans="1:21" ht="21">
      <c r="A27" s="61" t="s">
        <v>57</v>
      </c>
      <c r="B27" s="62"/>
      <c r="C27" s="62"/>
      <c r="D27" s="62"/>
      <c r="E27" s="62"/>
      <c r="F27" s="62"/>
      <c r="G27" s="62"/>
      <c r="H27" s="63"/>
      <c r="K27" s="2"/>
      <c r="N27" s="30"/>
      <c r="O27" s="30"/>
      <c r="P27" s="2"/>
      <c r="Q27" s="108"/>
      <c r="R27" s="108"/>
      <c r="S27" s="32" t="s">
        <v>17</v>
      </c>
      <c r="T27" s="33"/>
      <c r="U27" s="34">
        <f>COUNTIF(A4:U25,"Peg")</f>
        <v>1</v>
      </c>
    </row>
    <row r="28" spans="1:21" ht="21.6" thickBot="1">
      <c r="A28" s="64" t="s">
        <v>177</v>
      </c>
      <c r="B28" s="65"/>
      <c r="C28" s="65"/>
      <c r="D28" s="65"/>
      <c r="E28" s="65"/>
      <c r="F28" s="65"/>
      <c r="G28" s="65"/>
      <c r="H28" s="66"/>
      <c r="I28" s="35" t="s">
        <v>58</v>
      </c>
      <c r="J28" s="35"/>
      <c r="K28" s="35"/>
      <c r="N28" s="30"/>
      <c r="O28" s="30"/>
      <c r="P28" s="35"/>
      <c r="Q28" s="108"/>
      <c r="R28" s="108"/>
      <c r="S28" s="32" t="s">
        <v>59</v>
      </c>
      <c r="T28" s="33"/>
      <c r="U28" s="34">
        <v>4</v>
      </c>
    </row>
    <row r="29" spans="1:21" ht="21">
      <c r="A29" s="36"/>
      <c r="B29" s="36"/>
      <c r="C29" s="36"/>
      <c r="D29" s="36"/>
      <c r="E29" s="36"/>
      <c r="F29" s="36"/>
      <c r="G29" s="36"/>
      <c r="H29" s="36"/>
      <c r="K29" s="36"/>
      <c r="P29" s="36"/>
      <c r="Q29" s="108"/>
      <c r="R29" s="108"/>
      <c r="S29" s="32" t="s">
        <v>21</v>
      </c>
      <c r="T29" s="33"/>
      <c r="U29" s="34">
        <f>COUNTIF(A4:U25,"ストマ")</f>
        <v>0</v>
      </c>
    </row>
    <row r="30" spans="1:21" ht="21">
      <c r="A30" s="37" t="s">
        <v>60</v>
      </c>
      <c r="B30" s="38"/>
      <c r="C30" s="38"/>
      <c r="D30" s="38"/>
      <c r="E30" s="38"/>
      <c r="F30" s="38"/>
      <c r="G30" s="38"/>
      <c r="H30" s="38"/>
      <c r="K30" s="38"/>
      <c r="P30" s="38"/>
      <c r="Q30" s="108"/>
      <c r="R30" s="108"/>
      <c r="S30" s="32" t="s">
        <v>15</v>
      </c>
      <c r="T30" s="33"/>
      <c r="U30" s="34">
        <f>COUNTIF(A4:U25,"HOT")</f>
        <v>1</v>
      </c>
    </row>
    <row r="31" spans="1:21" ht="21">
      <c r="A31" s="37"/>
      <c r="B31" s="38"/>
      <c r="C31" s="38"/>
      <c r="D31" s="38"/>
      <c r="E31" s="38"/>
      <c r="F31" s="38"/>
      <c r="G31" s="38"/>
      <c r="H31" s="38"/>
      <c r="K31" s="38"/>
      <c r="P31" s="38"/>
      <c r="Q31" s="31"/>
      <c r="R31" s="31"/>
      <c r="S31" s="32" t="s">
        <v>61</v>
      </c>
      <c r="T31" s="33"/>
      <c r="U31" s="34">
        <f>COUNTIF(A4:U25,"インス")</f>
        <v>5</v>
      </c>
    </row>
    <row r="32" spans="1:21" ht="21">
      <c r="A32" s="37"/>
      <c r="B32" s="38"/>
      <c r="C32" s="38"/>
      <c r="D32" s="38"/>
      <c r="E32" s="38"/>
      <c r="F32" s="38"/>
      <c r="G32" s="38"/>
      <c r="H32" s="38"/>
      <c r="K32" s="38"/>
      <c r="P32" s="38"/>
      <c r="Q32" s="31"/>
      <c r="R32" s="31"/>
      <c r="S32" s="39" t="s">
        <v>62</v>
      </c>
      <c r="T32" s="40"/>
      <c r="U32" s="41">
        <f>COUNTIF(A4:U25,"看")</f>
        <v>3</v>
      </c>
    </row>
    <row r="33" spans="1:21" ht="21.75" customHeight="1">
      <c r="A33" s="37"/>
      <c r="B33" s="38"/>
      <c r="C33" s="38"/>
      <c r="D33" s="38"/>
      <c r="E33" s="38"/>
      <c r="F33" s="38"/>
      <c r="G33" s="38"/>
      <c r="H33" s="38"/>
      <c r="K33" s="38"/>
      <c r="P33" s="38"/>
    </row>
    <row r="34" spans="1:21" ht="27.75" customHeight="1">
      <c r="A34" s="107" t="s">
        <v>63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</row>
    <row r="35" spans="1:21" ht="27.75" customHeight="1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7.75" customHeight="1">
      <c r="A36" s="17"/>
      <c r="B36" s="77" t="s">
        <v>138</v>
      </c>
      <c r="C36" s="78"/>
      <c r="D36" s="4" t="s">
        <v>3</v>
      </c>
      <c r="E36" s="79" t="s">
        <v>64</v>
      </c>
      <c r="F36" s="80"/>
      <c r="G36" s="77" t="s">
        <v>138</v>
      </c>
      <c r="H36" s="78"/>
      <c r="I36" s="4" t="s">
        <v>3</v>
      </c>
      <c r="J36" s="79" t="s">
        <v>66</v>
      </c>
      <c r="K36" s="80"/>
      <c r="L36" s="77" t="s">
        <v>138</v>
      </c>
      <c r="M36" s="78"/>
      <c r="N36" s="4" t="s">
        <v>172</v>
      </c>
      <c r="O36" s="79" t="s">
        <v>67</v>
      </c>
      <c r="P36" s="80"/>
      <c r="Q36" s="17"/>
      <c r="R36" s="17"/>
      <c r="S36" s="17"/>
      <c r="T36" s="17"/>
      <c r="U36" s="29"/>
    </row>
    <row r="37" spans="1:21" ht="27" customHeight="1">
      <c r="A37" s="94" t="s">
        <v>4</v>
      </c>
      <c r="B37" s="95" t="s">
        <v>68</v>
      </c>
      <c r="C37" s="7">
        <v>101</v>
      </c>
      <c r="D37" s="10" t="s">
        <v>69</v>
      </c>
      <c r="E37" s="59"/>
      <c r="F37" s="60"/>
      <c r="G37" s="97" t="s">
        <v>70</v>
      </c>
      <c r="H37" s="7">
        <v>101</v>
      </c>
      <c r="I37" s="10" t="s">
        <v>185</v>
      </c>
      <c r="J37" s="59"/>
      <c r="K37" s="60"/>
      <c r="L37" s="99" t="s">
        <v>71</v>
      </c>
      <c r="M37" s="7">
        <v>101</v>
      </c>
      <c r="N37" s="10" t="s">
        <v>86</v>
      </c>
      <c r="O37" s="59"/>
      <c r="P37" s="60"/>
      <c r="S37" s="30"/>
      <c r="T37" s="30"/>
      <c r="U37" s="2"/>
    </row>
    <row r="38" spans="1:21" ht="27" customHeight="1">
      <c r="A38" s="94"/>
      <c r="B38" s="96"/>
      <c r="C38" s="7">
        <v>102</v>
      </c>
      <c r="D38" s="10" t="s">
        <v>72</v>
      </c>
      <c r="E38" s="18" t="s">
        <v>37</v>
      </c>
      <c r="F38" s="43" t="s">
        <v>10</v>
      </c>
      <c r="G38" s="98"/>
      <c r="H38" s="7">
        <v>102</v>
      </c>
      <c r="I38" s="10" t="s">
        <v>85</v>
      </c>
      <c r="J38" s="59"/>
      <c r="K38" s="60"/>
      <c r="L38" s="100"/>
      <c r="M38" s="7">
        <v>102</v>
      </c>
      <c r="N38" s="10" t="s">
        <v>143</v>
      </c>
      <c r="O38" s="18"/>
      <c r="P38" s="43"/>
      <c r="S38" s="30"/>
      <c r="T38" s="30"/>
      <c r="U38" s="2"/>
    </row>
    <row r="39" spans="1:21" ht="27" customHeight="1">
      <c r="A39" s="94"/>
      <c r="B39" s="96"/>
      <c r="C39" s="7">
        <v>103</v>
      </c>
      <c r="D39" s="10" t="s">
        <v>74</v>
      </c>
      <c r="E39" s="59"/>
      <c r="F39" s="60"/>
      <c r="G39" s="98"/>
      <c r="H39" s="7">
        <v>103</v>
      </c>
      <c r="I39" s="10" t="s">
        <v>139</v>
      </c>
      <c r="J39" s="59" t="s">
        <v>15</v>
      </c>
      <c r="K39" s="60"/>
      <c r="L39" s="100"/>
      <c r="M39" s="20">
        <v>103</v>
      </c>
      <c r="N39" s="10" t="s">
        <v>159</v>
      </c>
      <c r="O39" s="57" t="s">
        <v>160</v>
      </c>
      <c r="P39" s="58"/>
      <c r="S39" s="30"/>
      <c r="T39" s="30"/>
      <c r="U39" s="2"/>
    </row>
    <row r="40" spans="1:21" ht="27" customHeight="1">
      <c r="A40" s="94"/>
      <c r="B40" s="96"/>
      <c r="C40" s="7">
        <v>105</v>
      </c>
      <c r="D40" s="10" t="s">
        <v>76</v>
      </c>
      <c r="E40" s="18"/>
      <c r="F40" s="22"/>
      <c r="G40" s="98"/>
      <c r="H40" s="7">
        <v>105</v>
      </c>
      <c r="I40" s="10" t="s">
        <v>180</v>
      </c>
      <c r="J40" s="59"/>
      <c r="K40" s="60"/>
      <c r="L40" s="100"/>
      <c r="M40" s="20">
        <v>105</v>
      </c>
      <c r="N40" s="10" t="s">
        <v>77</v>
      </c>
      <c r="O40" s="57" t="s">
        <v>160</v>
      </c>
      <c r="P40" s="58"/>
      <c r="U40" s="2"/>
    </row>
    <row r="41" spans="1:21" ht="27" customHeight="1">
      <c r="A41" s="94"/>
      <c r="B41" s="96"/>
      <c r="C41" s="7">
        <v>106</v>
      </c>
      <c r="D41" s="10" t="s">
        <v>158</v>
      </c>
      <c r="E41" s="59"/>
      <c r="F41" s="60"/>
      <c r="G41" s="98"/>
      <c r="H41" s="11">
        <v>106</v>
      </c>
      <c r="I41" s="10" t="s">
        <v>191</v>
      </c>
      <c r="J41" s="59" t="s">
        <v>10</v>
      </c>
      <c r="K41" s="60"/>
      <c r="L41" s="100"/>
      <c r="M41" s="7">
        <v>106</v>
      </c>
      <c r="N41" s="10" t="s">
        <v>73</v>
      </c>
      <c r="O41" s="18"/>
      <c r="P41" s="19"/>
      <c r="U41" s="2"/>
    </row>
    <row r="42" spans="1:21" ht="27" customHeight="1">
      <c r="A42" s="94"/>
      <c r="B42" s="96"/>
      <c r="C42" s="7">
        <v>107</v>
      </c>
      <c r="D42" s="10" t="s">
        <v>78</v>
      </c>
      <c r="E42" s="75"/>
      <c r="F42" s="76"/>
      <c r="G42" s="98"/>
      <c r="H42" s="7">
        <v>107</v>
      </c>
      <c r="I42" s="10" t="s">
        <v>155</v>
      </c>
      <c r="J42" s="59"/>
      <c r="K42" s="60"/>
      <c r="L42" s="100"/>
      <c r="M42" s="7">
        <v>107</v>
      </c>
      <c r="N42" s="10" t="s">
        <v>148</v>
      </c>
      <c r="O42" s="59"/>
      <c r="P42" s="60"/>
      <c r="U42" s="2"/>
    </row>
    <row r="43" spans="1:21" ht="27" customHeight="1">
      <c r="A43" s="94"/>
      <c r="B43" s="96"/>
      <c r="C43" s="7">
        <v>108</v>
      </c>
      <c r="D43" s="10" t="s">
        <v>79</v>
      </c>
      <c r="E43" s="59" t="s">
        <v>80</v>
      </c>
      <c r="F43" s="60"/>
      <c r="G43" s="98"/>
      <c r="H43" s="20">
        <v>108</v>
      </c>
      <c r="I43" s="10" t="s">
        <v>75</v>
      </c>
      <c r="J43" s="57" t="s">
        <v>160</v>
      </c>
      <c r="K43" s="58"/>
      <c r="L43" s="100"/>
      <c r="M43" s="7">
        <v>108</v>
      </c>
      <c r="N43" s="10" t="s">
        <v>81</v>
      </c>
      <c r="O43" s="18"/>
      <c r="P43" s="42"/>
    </row>
    <row r="44" spans="1:21" ht="27" customHeight="1">
      <c r="A44" s="94"/>
      <c r="B44" s="101">
        <v>801</v>
      </c>
      <c r="C44" s="7">
        <v>110</v>
      </c>
      <c r="D44" s="10" t="s">
        <v>82</v>
      </c>
      <c r="E44" s="59"/>
      <c r="F44" s="60"/>
      <c r="G44" s="103">
        <v>803</v>
      </c>
      <c r="H44" s="7">
        <v>110</v>
      </c>
      <c r="I44" s="10" t="s">
        <v>83</v>
      </c>
      <c r="J44" s="59"/>
      <c r="K44" s="60"/>
      <c r="L44" s="105">
        <v>805</v>
      </c>
      <c r="M44" s="11">
        <v>110</v>
      </c>
      <c r="N44" s="10" t="s">
        <v>189</v>
      </c>
      <c r="O44" s="59" t="s">
        <v>10</v>
      </c>
      <c r="P44" s="60"/>
      <c r="U44" s="2"/>
    </row>
    <row r="45" spans="1:21" ht="27" customHeight="1">
      <c r="A45" s="94"/>
      <c r="B45" s="101"/>
      <c r="C45" s="7">
        <v>111</v>
      </c>
      <c r="D45" s="10" t="s">
        <v>84</v>
      </c>
      <c r="E45" s="18"/>
      <c r="F45" s="22"/>
      <c r="G45" s="103"/>
      <c r="H45" s="11">
        <v>111</v>
      </c>
      <c r="I45" s="10" t="s">
        <v>156</v>
      </c>
      <c r="J45" s="18"/>
      <c r="K45" s="42"/>
      <c r="L45" s="105"/>
      <c r="M45" s="7">
        <v>111</v>
      </c>
      <c r="N45" s="10" t="s">
        <v>161</v>
      </c>
      <c r="O45" s="18"/>
      <c r="P45" s="42"/>
      <c r="U45" s="2"/>
    </row>
    <row r="46" spans="1:21" ht="27" customHeight="1" thickBot="1">
      <c r="A46" s="94"/>
      <c r="B46" s="102"/>
      <c r="C46" s="15">
        <v>112</v>
      </c>
      <c r="D46" s="16" t="s">
        <v>87</v>
      </c>
      <c r="E46" s="73"/>
      <c r="F46" s="74"/>
      <c r="G46" s="104"/>
      <c r="H46" s="15">
        <v>112</v>
      </c>
      <c r="I46" s="16" t="s">
        <v>88</v>
      </c>
      <c r="J46" s="73"/>
      <c r="K46" s="74"/>
      <c r="L46" s="106"/>
      <c r="M46" s="12">
        <v>112</v>
      </c>
      <c r="N46" s="16" t="s">
        <v>181</v>
      </c>
      <c r="O46" s="24"/>
      <c r="P46" s="25"/>
      <c r="U46" s="2"/>
    </row>
    <row r="47" spans="1:21" ht="27" customHeight="1">
      <c r="A47" s="44"/>
      <c r="B47" s="45"/>
      <c r="C47" s="28"/>
      <c r="D47" s="46"/>
      <c r="E47" s="47"/>
      <c r="F47" s="47"/>
      <c r="G47" s="45"/>
      <c r="H47" s="28"/>
      <c r="I47" s="46"/>
      <c r="J47" s="47"/>
      <c r="K47" s="47"/>
      <c r="L47" s="45"/>
      <c r="M47" s="28"/>
      <c r="N47" s="46"/>
      <c r="O47" s="48"/>
      <c r="P47" s="49"/>
      <c r="U47" s="2"/>
    </row>
    <row r="48" spans="1:21" ht="21.75" customHeight="1" thickBot="1">
      <c r="D48" s="30"/>
      <c r="E48" s="30"/>
      <c r="F48" s="30"/>
      <c r="K48" s="30"/>
      <c r="N48" s="30"/>
      <c r="O48" s="30"/>
      <c r="P48" s="30"/>
    </row>
    <row r="49" spans="1:21" ht="31.5" customHeight="1">
      <c r="A49" s="37"/>
      <c r="B49" s="77" t="s">
        <v>175</v>
      </c>
      <c r="C49" s="78"/>
      <c r="D49" s="4" t="s">
        <v>172</v>
      </c>
      <c r="E49" s="79" t="s">
        <v>89</v>
      </c>
      <c r="F49" s="80"/>
      <c r="G49" s="77" t="s">
        <v>175</v>
      </c>
      <c r="H49" s="78"/>
      <c r="I49" s="4" t="s">
        <v>24</v>
      </c>
      <c r="J49" s="79" t="s">
        <v>67</v>
      </c>
      <c r="K49" s="80"/>
      <c r="L49" s="77" t="s">
        <v>175</v>
      </c>
      <c r="M49" s="78"/>
      <c r="N49" s="4" t="s">
        <v>172</v>
      </c>
      <c r="O49" s="79" t="s">
        <v>90</v>
      </c>
      <c r="P49" s="80"/>
      <c r="Q49" s="77" t="s">
        <v>65</v>
      </c>
      <c r="R49" s="78"/>
      <c r="S49" s="4" t="s">
        <v>174</v>
      </c>
      <c r="T49" s="79" t="s">
        <v>67</v>
      </c>
      <c r="U49" s="80"/>
    </row>
    <row r="50" spans="1:21" ht="27" customHeight="1">
      <c r="A50" s="81" t="s">
        <v>26</v>
      </c>
      <c r="B50" s="82" t="s">
        <v>91</v>
      </c>
      <c r="C50" s="7">
        <v>201</v>
      </c>
      <c r="D50" s="10" t="s">
        <v>92</v>
      </c>
      <c r="E50" s="59"/>
      <c r="F50" s="60"/>
      <c r="G50" s="84" t="s">
        <v>93</v>
      </c>
      <c r="H50" s="7">
        <v>201</v>
      </c>
      <c r="I50" s="10" t="s">
        <v>94</v>
      </c>
      <c r="J50" s="75"/>
      <c r="K50" s="76"/>
      <c r="L50" s="86" t="s">
        <v>95</v>
      </c>
      <c r="M50" s="7">
        <v>201</v>
      </c>
      <c r="N50" s="10" t="s">
        <v>96</v>
      </c>
      <c r="O50" s="18"/>
      <c r="P50" s="19"/>
      <c r="Q50" s="88" t="s">
        <v>97</v>
      </c>
      <c r="R50" s="11">
        <v>201</v>
      </c>
      <c r="S50" s="54" t="s">
        <v>137</v>
      </c>
      <c r="T50" s="55"/>
      <c r="U50" s="56"/>
    </row>
    <row r="51" spans="1:21" ht="27" customHeight="1">
      <c r="A51" s="81"/>
      <c r="B51" s="83"/>
      <c r="C51" s="7">
        <v>202</v>
      </c>
      <c r="D51" s="10" t="s">
        <v>98</v>
      </c>
      <c r="E51" s="75"/>
      <c r="F51" s="76"/>
      <c r="G51" s="85"/>
      <c r="H51" s="7">
        <v>202</v>
      </c>
      <c r="I51" s="10" t="s">
        <v>184</v>
      </c>
      <c r="J51" s="75"/>
      <c r="K51" s="76"/>
      <c r="L51" s="87"/>
      <c r="M51" s="7">
        <v>202</v>
      </c>
      <c r="N51" s="10" t="s">
        <v>99</v>
      </c>
      <c r="O51" s="18"/>
      <c r="P51" s="19"/>
      <c r="Q51" s="89"/>
      <c r="R51" s="20">
        <v>202</v>
      </c>
      <c r="S51" s="10" t="s">
        <v>100</v>
      </c>
      <c r="T51" s="18" t="s">
        <v>40</v>
      </c>
      <c r="U51" s="19"/>
    </row>
    <row r="52" spans="1:21" ht="27" customHeight="1">
      <c r="A52" s="81"/>
      <c r="B52" s="83"/>
      <c r="C52" s="7">
        <v>203</v>
      </c>
      <c r="D52" s="10" t="s">
        <v>101</v>
      </c>
      <c r="E52" s="59" t="s">
        <v>102</v>
      </c>
      <c r="F52" s="60"/>
      <c r="G52" s="85"/>
      <c r="H52" s="11">
        <v>203</v>
      </c>
      <c r="I52" s="10" t="s">
        <v>103</v>
      </c>
      <c r="J52" s="75"/>
      <c r="K52" s="76"/>
      <c r="L52" s="87"/>
      <c r="M52" s="7">
        <v>203</v>
      </c>
      <c r="N52" s="10" t="s">
        <v>135</v>
      </c>
      <c r="O52" s="18"/>
      <c r="P52" s="19"/>
      <c r="Q52" s="89"/>
      <c r="R52" s="7">
        <v>203</v>
      </c>
      <c r="S52" s="10" t="s">
        <v>104</v>
      </c>
      <c r="T52" s="18"/>
      <c r="U52" s="19"/>
    </row>
    <row r="53" spans="1:21" ht="27" customHeight="1">
      <c r="A53" s="81"/>
      <c r="B53" s="83"/>
      <c r="C53" s="7">
        <v>205</v>
      </c>
      <c r="D53" s="10" t="s">
        <v>105</v>
      </c>
      <c r="E53" s="59"/>
      <c r="F53" s="60"/>
      <c r="G53" s="85"/>
      <c r="H53" s="7">
        <v>205</v>
      </c>
      <c r="I53" s="10" t="s">
        <v>106</v>
      </c>
      <c r="J53" s="75"/>
      <c r="K53" s="76"/>
      <c r="L53" s="87"/>
      <c r="M53" s="7">
        <v>205</v>
      </c>
      <c r="N53" s="10" t="s">
        <v>150</v>
      </c>
      <c r="O53" s="18"/>
      <c r="P53" s="19"/>
      <c r="Q53" s="89"/>
      <c r="R53" s="7">
        <v>205</v>
      </c>
      <c r="S53" s="10" t="s">
        <v>107</v>
      </c>
      <c r="T53" s="18"/>
      <c r="U53" s="19"/>
    </row>
    <row r="54" spans="1:21" ht="27" customHeight="1">
      <c r="A54" s="81"/>
      <c r="B54" s="83"/>
      <c r="C54" s="7">
        <v>206</v>
      </c>
      <c r="D54" s="10" t="s">
        <v>134</v>
      </c>
      <c r="E54" s="59"/>
      <c r="F54" s="60"/>
      <c r="G54" s="85"/>
      <c r="H54" s="20">
        <v>206</v>
      </c>
      <c r="I54" s="10" t="s">
        <v>108</v>
      </c>
      <c r="J54" s="75" t="s">
        <v>40</v>
      </c>
      <c r="K54" s="76"/>
      <c r="L54" s="87"/>
      <c r="M54" s="7">
        <v>206</v>
      </c>
      <c r="N54" s="10" t="s">
        <v>109</v>
      </c>
      <c r="O54" s="18"/>
      <c r="P54" s="19" t="s">
        <v>10</v>
      </c>
      <c r="Q54" s="89"/>
      <c r="R54" s="7">
        <v>206</v>
      </c>
      <c r="S54" s="10" t="s">
        <v>110</v>
      </c>
      <c r="T54" s="18"/>
      <c r="U54" s="19"/>
    </row>
    <row r="55" spans="1:21" ht="27" customHeight="1">
      <c r="A55" s="81"/>
      <c r="B55" s="83"/>
      <c r="C55" s="7">
        <v>207</v>
      </c>
      <c r="D55" s="10" t="s">
        <v>171</v>
      </c>
      <c r="E55" s="59"/>
      <c r="F55" s="60"/>
      <c r="G55" s="85"/>
      <c r="H55" s="7">
        <v>207</v>
      </c>
      <c r="I55" s="10" t="s">
        <v>111</v>
      </c>
      <c r="J55" s="75"/>
      <c r="K55" s="76"/>
      <c r="L55" s="87"/>
      <c r="M55" s="7">
        <v>207</v>
      </c>
      <c r="N55" s="10" t="s">
        <v>112</v>
      </c>
      <c r="O55" s="18"/>
      <c r="P55" s="19"/>
      <c r="Q55" s="89"/>
      <c r="R55" s="7">
        <v>207</v>
      </c>
      <c r="S55" s="10" t="s">
        <v>113</v>
      </c>
      <c r="T55" s="18"/>
      <c r="U55" s="19"/>
    </row>
    <row r="56" spans="1:21" ht="27" customHeight="1" thickBot="1">
      <c r="A56" s="81"/>
      <c r="B56" s="83"/>
      <c r="C56" s="20">
        <v>208</v>
      </c>
      <c r="D56" s="10" t="s">
        <v>114</v>
      </c>
      <c r="E56" s="18" t="s">
        <v>40</v>
      </c>
      <c r="F56" s="42" t="s">
        <v>15</v>
      </c>
      <c r="G56" s="85"/>
      <c r="H56" s="7">
        <v>208</v>
      </c>
      <c r="I56" s="23" t="s">
        <v>115</v>
      </c>
      <c r="J56" s="75"/>
      <c r="K56" s="76"/>
      <c r="L56" s="87"/>
      <c r="M56" s="7">
        <v>208</v>
      </c>
      <c r="N56" s="10" t="s">
        <v>116</v>
      </c>
      <c r="O56" s="18"/>
      <c r="P56" s="19"/>
      <c r="Q56" s="89"/>
      <c r="R56" s="7">
        <v>208</v>
      </c>
      <c r="S56" s="10" t="s">
        <v>117</v>
      </c>
      <c r="T56" s="73" t="s">
        <v>37</v>
      </c>
      <c r="U56" s="74"/>
    </row>
    <row r="57" spans="1:21" ht="27" customHeight="1">
      <c r="A57" s="81"/>
      <c r="B57" s="90">
        <v>901</v>
      </c>
      <c r="C57" s="7">
        <v>210</v>
      </c>
      <c r="D57" s="10" t="s">
        <v>118</v>
      </c>
      <c r="E57" s="59"/>
      <c r="F57" s="60"/>
      <c r="G57" s="92">
        <v>903</v>
      </c>
      <c r="H57" s="20">
        <v>210</v>
      </c>
      <c r="I57" s="10" t="s">
        <v>119</v>
      </c>
      <c r="J57" s="75" t="s">
        <v>40</v>
      </c>
      <c r="K57" s="76"/>
      <c r="L57" s="69">
        <v>904</v>
      </c>
      <c r="M57" s="7">
        <v>210</v>
      </c>
      <c r="N57" s="10" t="s">
        <v>120</v>
      </c>
      <c r="O57" s="18"/>
      <c r="P57" s="19"/>
      <c r="Q57" s="71">
        <v>906</v>
      </c>
      <c r="R57" s="7">
        <v>210</v>
      </c>
      <c r="S57" s="10" t="s">
        <v>121</v>
      </c>
      <c r="T57" s="18"/>
      <c r="U57" s="19"/>
    </row>
    <row r="58" spans="1:21" ht="27" customHeight="1">
      <c r="A58" s="81"/>
      <c r="B58" s="90"/>
      <c r="C58" s="7">
        <v>211</v>
      </c>
      <c r="D58" s="10" t="s">
        <v>122</v>
      </c>
      <c r="E58" s="59"/>
      <c r="F58" s="60"/>
      <c r="G58" s="92"/>
      <c r="H58" s="7">
        <v>211</v>
      </c>
      <c r="I58" s="10" t="s">
        <v>123</v>
      </c>
      <c r="J58" s="59"/>
      <c r="K58" s="60"/>
      <c r="L58" s="69"/>
      <c r="M58" s="7">
        <v>211</v>
      </c>
      <c r="N58" s="10" t="s">
        <v>124</v>
      </c>
      <c r="O58" s="18"/>
      <c r="P58" s="19"/>
      <c r="Q58" s="71"/>
      <c r="R58" s="7">
        <v>211</v>
      </c>
      <c r="S58" s="10" t="s">
        <v>144</v>
      </c>
      <c r="T58" s="18"/>
      <c r="U58" s="19"/>
    </row>
    <row r="59" spans="1:21" ht="27" customHeight="1" thickBot="1">
      <c r="A59" s="81"/>
      <c r="B59" s="91"/>
      <c r="C59" s="15">
        <v>212</v>
      </c>
      <c r="D59" s="16" t="s">
        <v>125</v>
      </c>
      <c r="E59" s="73"/>
      <c r="F59" s="74"/>
      <c r="G59" s="93"/>
      <c r="H59" s="15">
        <v>212</v>
      </c>
      <c r="I59" s="16" t="s">
        <v>126</v>
      </c>
      <c r="J59" s="73" t="s">
        <v>37</v>
      </c>
      <c r="K59" s="74"/>
      <c r="L59" s="70"/>
      <c r="M59" s="12">
        <v>212</v>
      </c>
      <c r="N59" s="16" t="s">
        <v>127</v>
      </c>
      <c r="O59" s="24"/>
      <c r="P59" s="25"/>
      <c r="Q59" s="72"/>
      <c r="R59" s="15">
        <v>212</v>
      </c>
      <c r="S59" s="16" t="s">
        <v>190</v>
      </c>
      <c r="T59" s="24"/>
      <c r="U59" s="25"/>
    </row>
    <row r="60" spans="1:21" ht="19.8" thickBot="1">
      <c r="B60" s="50"/>
      <c r="C60" s="51"/>
      <c r="D60" s="46"/>
      <c r="E60" s="46"/>
      <c r="F60" s="46"/>
      <c r="K60" s="46"/>
      <c r="P60" s="46"/>
      <c r="S60" s="30"/>
      <c r="T60" s="30"/>
      <c r="U60" s="46"/>
    </row>
    <row r="61" spans="1:21" ht="21">
      <c r="B61" s="61" t="s">
        <v>128</v>
      </c>
      <c r="C61" s="62"/>
      <c r="D61" s="62"/>
      <c r="E61" s="62"/>
      <c r="F61" s="62"/>
      <c r="G61" s="62"/>
      <c r="H61" s="62"/>
      <c r="I61" s="63"/>
      <c r="J61" s="52"/>
      <c r="K61" s="52"/>
      <c r="O61" s="52"/>
      <c r="S61" s="32" t="s">
        <v>17</v>
      </c>
      <c r="T61" s="33"/>
      <c r="U61" s="34">
        <f>COUNTIF(A37:U59,"Peg")</f>
        <v>0</v>
      </c>
    </row>
    <row r="62" spans="1:21" ht="21.6" thickBot="1">
      <c r="B62" s="64" t="s">
        <v>129</v>
      </c>
      <c r="C62" s="65"/>
      <c r="D62" s="65"/>
      <c r="E62" s="65"/>
      <c r="F62" s="65"/>
      <c r="G62" s="65"/>
      <c r="H62" s="65"/>
      <c r="I62" s="66"/>
      <c r="J62" s="67" t="s">
        <v>130</v>
      </c>
      <c r="K62" s="68"/>
      <c r="L62" s="68"/>
      <c r="M62" s="68"/>
      <c r="N62" s="68"/>
      <c r="O62" s="53"/>
      <c r="S62" s="32" t="s">
        <v>59</v>
      </c>
      <c r="T62" s="33"/>
      <c r="U62" s="34">
        <f>COUNTIF(A37:U59,"Br")</f>
        <v>5</v>
      </c>
    </row>
    <row r="63" spans="1:21" ht="21.6" thickBot="1"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35"/>
      <c r="O63" s="53"/>
      <c r="S63" s="32" t="s">
        <v>21</v>
      </c>
      <c r="T63" s="33"/>
      <c r="U63" s="34">
        <f>COUNTIF(A37:U59,"ストマ")</f>
        <v>0</v>
      </c>
    </row>
    <row r="64" spans="1:21" ht="20.25" customHeight="1">
      <c r="B64" s="61" t="s">
        <v>131</v>
      </c>
      <c r="C64" s="62"/>
      <c r="D64" s="62"/>
      <c r="E64" s="62"/>
      <c r="F64" s="62"/>
      <c r="G64" s="62"/>
      <c r="H64" s="62"/>
      <c r="I64" s="63"/>
      <c r="J64" s="52"/>
      <c r="K64" s="52"/>
      <c r="L64" s="35"/>
      <c r="O64" s="52"/>
      <c r="S64" s="32" t="s">
        <v>15</v>
      </c>
      <c r="T64" s="33"/>
      <c r="U64" s="34">
        <f>COUNTIF(A37:U59,"HOT")</f>
        <v>2</v>
      </c>
    </row>
    <row r="65" spans="2:21" ht="21.6" thickBot="1">
      <c r="B65" s="64" t="s">
        <v>132</v>
      </c>
      <c r="C65" s="65"/>
      <c r="D65" s="65"/>
      <c r="E65" s="65"/>
      <c r="F65" s="65"/>
      <c r="G65" s="65"/>
      <c r="H65" s="65"/>
      <c r="I65" s="66"/>
      <c r="J65" s="67" t="s">
        <v>133</v>
      </c>
      <c r="K65" s="68"/>
      <c r="L65" s="68"/>
      <c r="M65" s="68"/>
      <c r="N65" s="68"/>
      <c r="O65" s="53"/>
      <c r="S65" s="32" t="s">
        <v>61</v>
      </c>
      <c r="T65" s="33"/>
      <c r="U65" s="34">
        <f>COUNTIF(A37:U59,"インス")</f>
        <v>4</v>
      </c>
    </row>
    <row r="66" spans="2:21" ht="21">
      <c r="B66" s="36"/>
      <c r="C66" s="36"/>
      <c r="D66" s="36"/>
      <c r="E66" s="36"/>
      <c r="F66" s="36"/>
      <c r="G66" s="36"/>
      <c r="H66" s="36"/>
      <c r="I66" s="36"/>
      <c r="J66" s="36"/>
      <c r="K66" s="36"/>
      <c r="O66" s="36"/>
      <c r="S66" s="39" t="s">
        <v>62</v>
      </c>
      <c r="T66" s="40"/>
      <c r="U66" s="41">
        <f>COUNTIF(A37:U59,"看")</f>
        <v>7</v>
      </c>
    </row>
    <row r="67" spans="2:21">
      <c r="B67" s="37" t="s">
        <v>60</v>
      </c>
      <c r="C67" s="38"/>
      <c r="D67" s="38"/>
      <c r="E67" s="38"/>
      <c r="F67" s="38"/>
      <c r="G67" s="37"/>
      <c r="H67" s="38"/>
      <c r="I67" s="38"/>
      <c r="J67" s="38"/>
      <c r="K67" s="38"/>
      <c r="O67" s="38"/>
      <c r="U67" s="38"/>
    </row>
    <row r="68" spans="2:21" ht="13.2">
      <c r="D68" s="2"/>
      <c r="E68" s="2"/>
      <c r="F68" s="2"/>
      <c r="K68" s="2"/>
      <c r="P68" s="2"/>
      <c r="U68" s="2"/>
    </row>
    <row r="69" spans="2:21" ht="13.2">
      <c r="D69" s="2"/>
      <c r="E69" s="2"/>
      <c r="F69" s="2"/>
      <c r="K69" s="2"/>
      <c r="P69" s="2"/>
      <c r="U69" s="2"/>
    </row>
    <row r="70" spans="2:21" ht="13.2">
      <c r="D70" s="2"/>
      <c r="E70" s="2"/>
      <c r="F70" s="2"/>
      <c r="K70" s="2"/>
      <c r="P70" s="2"/>
      <c r="U70" s="2"/>
    </row>
    <row r="71" spans="2:21" ht="13.2">
      <c r="D71" s="2"/>
      <c r="E71" s="2"/>
      <c r="F71" s="2"/>
      <c r="K71" s="2"/>
      <c r="P71" s="2"/>
      <c r="U71" s="2"/>
    </row>
    <row r="72" spans="2:21" ht="13.2">
      <c r="D72" s="2"/>
      <c r="E72" s="2"/>
      <c r="F72" s="2"/>
      <c r="K72" s="2"/>
      <c r="P72" s="2"/>
      <c r="U72" s="2"/>
    </row>
    <row r="73" spans="2:21" ht="13.2">
      <c r="D73" s="2"/>
      <c r="E73" s="2"/>
      <c r="F73" s="2"/>
      <c r="K73" s="2"/>
      <c r="P73" s="2"/>
      <c r="U73" s="2"/>
    </row>
    <row r="74" spans="2:21" ht="13.2">
      <c r="D74" s="2"/>
      <c r="E74" s="2"/>
      <c r="F74" s="2"/>
      <c r="K74" s="2"/>
      <c r="P74" s="2"/>
      <c r="U74" s="2"/>
    </row>
    <row r="75" spans="2:21" ht="13.2">
      <c r="D75" s="2"/>
      <c r="E75" s="2"/>
      <c r="F75" s="2"/>
      <c r="K75" s="2"/>
      <c r="P75" s="2"/>
      <c r="U75" s="2"/>
    </row>
    <row r="76" spans="2:21" ht="13.2">
      <c r="D76" s="2"/>
      <c r="E76" s="2"/>
      <c r="F76" s="2"/>
      <c r="K76" s="2"/>
      <c r="P76" s="2"/>
      <c r="U76" s="2"/>
    </row>
    <row r="77" spans="2:21" ht="13.2">
      <c r="D77" s="2"/>
      <c r="E77" s="2"/>
      <c r="F77" s="2"/>
      <c r="K77" s="2"/>
      <c r="P77" s="2"/>
      <c r="U77" s="2"/>
    </row>
    <row r="78" spans="2:21" ht="13.2">
      <c r="D78" s="2"/>
      <c r="E78" s="2"/>
      <c r="F78" s="2"/>
      <c r="K78" s="2"/>
      <c r="P78" s="2"/>
      <c r="U78" s="2"/>
    </row>
    <row r="79" spans="2:21" ht="13.2">
      <c r="D79" s="2"/>
      <c r="E79" s="2"/>
      <c r="F79" s="2"/>
      <c r="K79" s="2"/>
      <c r="P79" s="2"/>
      <c r="U79" s="2"/>
    </row>
    <row r="80" spans="2:21" ht="13.2">
      <c r="D80" s="2"/>
      <c r="E80" s="2"/>
      <c r="F80" s="2"/>
      <c r="K80" s="2"/>
      <c r="P80" s="2"/>
      <c r="U80" s="2"/>
    </row>
    <row r="81" s="2" customFormat="1" ht="13.2"/>
    <row r="82" s="2" customFormat="1" ht="13.2"/>
    <row r="83" s="2" customFormat="1" ht="13.2"/>
    <row r="84" s="2" customFormat="1" ht="13.2"/>
    <row r="85" s="2" customFormat="1" ht="13.2"/>
    <row r="86" s="2" customFormat="1" ht="13.2"/>
    <row r="87" s="2" customFormat="1" ht="13.2"/>
    <row r="88" s="2" customFormat="1" ht="13.2"/>
    <row r="89" s="2" customFormat="1" ht="13.2"/>
    <row r="90" s="2" customFormat="1" ht="13.2"/>
    <row r="91" s="2" customFormat="1" ht="13.2"/>
    <row r="92" s="2" customFormat="1" ht="13.2"/>
    <row r="93" s="2" customFormat="1" ht="13.2"/>
    <row r="94" s="2" customFormat="1" ht="13.2"/>
    <row r="95" s="2" customFormat="1" ht="13.2"/>
    <row r="96" s="2" customFormat="1" ht="13.2"/>
    <row r="97" s="2" customFormat="1" ht="13.2"/>
    <row r="98" s="2" customFormat="1" ht="13.2"/>
    <row r="99" s="2" customFormat="1" ht="13.2"/>
    <row r="100" s="2" customFormat="1" ht="13.2"/>
    <row r="101" s="2" customFormat="1" ht="13.2"/>
    <row r="102" s="2" customFormat="1" ht="13.2"/>
    <row r="103" s="2" customFormat="1" ht="13.2"/>
    <row r="104" s="2" customFormat="1" ht="13.2"/>
    <row r="105" s="2" customFormat="1" ht="13.2"/>
    <row r="106" s="2" customFormat="1" ht="13.2"/>
    <row r="107" s="2" customFormat="1" ht="13.2"/>
    <row r="108" s="2" customFormat="1" ht="13.2"/>
    <row r="109" s="2" customFormat="1" ht="13.2"/>
    <row r="110" s="2" customFormat="1" ht="13.2"/>
    <row r="111" s="2" customFormat="1" ht="13.2"/>
    <row r="112" s="2" customFormat="1" ht="13.2"/>
    <row r="113" s="2" customFormat="1" ht="13.2"/>
    <row r="114" s="2" customFormat="1" ht="13.2"/>
    <row r="115" s="2" customFormat="1" ht="13.2"/>
    <row r="116" s="2" customFormat="1" ht="13.2"/>
    <row r="117" s="2" customFormat="1" ht="13.2"/>
    <row r="118" s="2" customFormat="1" ht="13.2"/>
    <row r="119" s="2" customFormat="1" ht="13.2"/>
    <row r="120" s="2" customFormat="1" ht="13.2"/>
    <row r="121" s="2" customFormat="1" ht="13.2"/>
    <row r="122" s="2" customFormat="1" ht="13.2"/>
    <row r="123" s="2" customFormat="1" ht="13.2"/>
    <row r="124" s="2" customFormat="1" ht="13.2"/>
    <row r="125" s="2" customFormat="1" ht="13.2"/>
    <row r="126" s="2" customFormat="1" ht="13.2"/>
    <row r="127" s="2" customFormat="1" ht="13.2"/>
    <row r="128" s="2" customFormat="1" ht="13.2"/>
    <row r="129" s="2" customFormat="1" ht="13.2"/>
    <row r="130" s="2" customFormat="1" ht="13.2"/>
    <row r="131" s="2" customFormat="1" ht="13.2"/>
    <row r="132" s="2" customFormat="1" ht="13.2"/>
    <row r="133" s="2" customFormat="1" ht="13.2"/>
    <row r="134" s="2" customFormat="1" ht="13.2"/>
    <row r="135" s="2" customFormat="1" ht="13.2"/>
    <row r="136" s="2" customFormat="1" ht="13.2"/>
    <row r="137" s="2" customFormat="1" ht="13.2"/>
    <row r="138" s="2" customFormat="1" ht="13.2"/>
    <row r="139" s="2" customFormat="1" ht="13.2"/>
    <row r="140" s="2" customFormat="1" ht="13.2"/>
    <row r="141" s="2" customFormat="1" ht="13.2"/>
    <row r="142" s="2" customFormat="1" ht="13.2"/>
    <row r="143" s="2" customFormat="1" ht="13.2"/>
    <row r="144" s="2" customFormat="1" ht="13.2"/>
    <row r="145" s="2" customFormat="1" ht="13.2"/>
    <row r="146" s="2" customFormat="1" ht="13.2"/>
    <row r="147" s="2" customFormat="1" ht="13.2"/>
    <row r="148" s="2" customFormat="1" ht="13.2"/>
    <row r="149" s="2" customFormat="1" ht="13.2"/>
    <row r="150" s="2" customFormat="1" ht="13.2"/>
    <row r="151" s="2" customFormat="1" ht="13.2"/>
    <row r="152" s="2" customFormat="1" ht="13.2"/>
    <row r="153" s="2" customFormat="1" ht="13.2"/>
    <row r="154" s="2" customFormat="1" ht="13.2"/>
    <row r="155" s="2" customFormat="1" ht="13.2"/>
    <row r="156" s="2" customFormat="1" ht="13.2"/>
    <row r="157" s="2" customFormat="1" ht="13.2"/>
    <row r="158" s="2" customFormat="1" ht="13.2"/>
    <row r="159" s="2" customFormat="1" ht="13.2"/>
    <row r="160" s="2" customFormat="1" ht="13.2"/>
    <row r="161" s="2" customFormat="1" ht="13.2"/>
    <row r="162" s="2" customFormat="1" ht="13.2"/>
    <row r="163" s="2" customFormat="1" ht="13.2"/>
    <row r="164" s="2" customFormat="1" ht="13.2"/>
    <row r="165" s="2" customFormat="1" ht="13.2"/>
    <row r="166" s="2" customFormat="1" ht="13.2"/>
    <row r="167" s="2" customFormat="1" ht="13.2"/>
    <row r="168" s="2" customFormat="1" ht="13.2"/>
    <row r="169" s="2" customFormat="1" ht="13.2"/>
    <row r="170" s="2" customFormat="1" ht="13.2"/>
    <row r="171" s="2" customFormat="1" ht="13.2"/>
    <row r="172" s="2" customFormat="1" ht="13.2"/>
    <row r="173" s="2" customFormat="1" ht="13.2"/>
    <row r="174" s="2" customFormat="1" ht="13.2"/>
    <row r="175" s="2" customFormat="1" ht="13.2"/>
    <row r="176" s="2" customFormat="1" ht="13.2"/>
    <row r="177" s="2" customFormat="1" ht="13.2"/>
    <row r="178" s="2" customFormat="1" ht="13.2"/>
    <row r="179" s="2" customFormat="1" ht="13.2"/>
    <row r="180" s="2" customFormat="1" ht="13.2"/>
    <row r="181" s="2" customFormat="1" ht="13.2"/>
    <row r="182" s="2" customFormat="1" ht="13.2"/>
    <row r="183" s="2" customFormat="1" ht="13.2"/>
    <row r="184" s="2" customFormat="1" ht="13.2"/>
    <row r="185" s="2" customFormat="1" ht="13.2"/>
    <row r="186" s="2" customFormat="1" ht="13.2"/>
    <row r="187" s="2" customFormat="1" ht="13.2"/>
    <row r="188" s="2" customFormat="1" ht="13.2"/>
    <row r="189" s="2" customFormat="1" ht="13.2"/>
    <row r="190" s="2" customFormat="1" ht="13.2"/>
    <row r="191" s="2" customFormat="1" ht="13.2"/>
    <row r="192" s="2" customFormat="1" ht="13.2"/>
    <row r="193" s="2" customFormat="1" ht="13.2"/>
    <row r="194" s="2" customFormat="1" ht="13.2"/>
    <row r="195" s="2" customFormat="1" ht="13.2"/>
    <row r="196" s="2" customFormat="1" ht="13.2"/>
    <row r="197" s="2" customFormat="1" ht="13.2"/>
    <row r="198" s="2" customFormat="1" ht="13.2"/>
    <row r="199" s="2" customFormat="1" ht="13.2"/>
    <row r="200" s="2" customFormat="1" ht="13.2"/>
    <row r="201" s="2" customFormat="1" ht="13.2"/>
    <row r="202" s="2" customFormat="1" ht="13.2"/>
    <row r="203" s="2" customFormat="1" ht="13.2"/>
    <row r="204" s="2" customFormat="1" ht="13.2"/>
    <row r="205" s="2" customFormat="1" ht="13.2"/>
    <row r="206" s="2" customFormat="1" ht="13.2"/>
    <row r="207" s="2" customFormat="1" ht="13.2"/>
    <row r="208" s="2" customFormat="1" ht="13.2"/>
    <row r="209" s="2" customFormat="1" ht="13.2"/>
    <row r="210" s="2" customFormat="1" ht="13.2"/>
    <row r="211" s="2" customFormat="1" ht="13.2"/>
    <row r="212" s="2" customFormat="1" ht="13.2"/>
    <row r="213" s="2" customFormat="1" ht="13.2"/>
    <row r="214" s="2" customFormat="1" ht="13.2"/>
    <row r="215" s="2" customFormat="1" ht="13.2"/>
    <row r="216" s="2" customFormat="1" ht="13.2"/>
    <row r="217" s="2" customFormat="1" ht="13.2"/>
    <row r="218" s="2" customFormat="1" ht="13.2"/>
    <row r="219" s="2" customFormat="1" ht="13.2"/>
    <row r="220" s="2" customFormat="1" ht="13.2"/>
    <row r="221" s="2" customFormat="1" ht="13.2"/>
    <row r="222" s="2" customFormat="1" ht="13.2"/>
    <row r="223" s="2" customFormat="1" ht="13.2"/>
    <row r="224" s="2" customFormat="1" ht="13.2"/>
    <row r="225" s="2" customFormat="1" ht="13.2"/>
    <row r="226" s="2" customFormat="1" ht="13.2"/>
    <row r="227" s="2" customFormat="1" ht="13.2"/>
    <row r="228" s="2" customFormat="1" ht="13.2"/>
    <row r="229" s="2" customFormat="1" ht="13.2"/>
    <row r="230" s="2" customFormat="1" ht="13.2"/>
    <row r="231" s="2" customFormat="1" ht="13.2"/>
    <row r="232" s="2" customFormat="1" ht="13.2"/>
    <row r="233" s="2" customFormat="1" ht="13.2"/>
    <row r="234" s="2" customFormat="1" ht="13.2"/>
    <row r="235" s="2" customFormat="1" ht="13.2"/>
    <row r="236" s="2" customFormat="1" ht="13.2"/>
    <row r="237" s="2" customFormat="1" ht="13.2"/>
    <row r="238" s="2" customFormat="1" ht="13.2"/>
    <row r="239" s="2" customFormat="1" ht="13.2"/>
    <row r="240" s="2" customFormat="1" ht="13.2"/>
    <row r="241" s="2" customFormat="1" ht="13.2"/>
    <row r="242" s="2" customFormat="1" ht="13.2"/>
    <row r="243" s="2" customFormat="1" ht="13.2"/>
    <row r="244" s="2" customFormat="1" ht="13.2"/>
    <row r="245" s="2" customFormat="1" ht="13.2"/>
    <row r="246" s="2" customFormat="1" ht="13.2"/>
    <row r="247" s="2" customFormat="1" ht="13.2"/>
    <row r="248" s="2" customFormat="1" ht="13.2"/>
    <row r="249" s="2" customFormat="1" ht="13.2"/>
    <row r="250" s="2" customFormat="1" ht="13.2"/>
    <row r="251" s="2" customFormat="1" ht="13.2"/>
    <row r="252" s="2" customFormat="1" ht="13.2"/>
    <row r="253" s="2" customFormat="1" ht="13.2"/>
    <row r="254" s="2" customFormat="1" ht="13.2"/>
    <row r="255" s="2" customFormat="1" ht="13.2"/>
    <row r="256" s="2" customFormat="1" ht="13.2"/>
    <row r="257" s="2" customFormat="1" ht="13.2"/>
    <row r="258" s="2" customFormat="1" ht="13.2"/>
    <row r="259" s="2" customFormat="1" ht="13.2"/>
    <row r="260" s="2" customFormat="1" ht="13.2"/>
    <row r="261" s="2" customFormat="1" ht="13.2"/>
    <row r="262" s="2" customFormat="1" ht="13.2"/>
    <row r="263" s="2" customFormat="1" ht="13.2"/>
    <row r="264" s="2" customFormat="1" ht="13.2"/>
    <row r="265" s="2" customFormat="1" ht="13.2"/>
    <row r="266" s="2" customFormat="1" ht="13.2"/>
    <row r="267" s="2" customFormat="1" ht="13.2"/>
    <row r="268" s="2" customFormat="1" ht="13.2"/>
    <row r="269" s="2" customFormat="1" ht="13.2"/>
    <row r="270" s="2" customFormat="1" ht="13.2"/>
    <row r="271" s="2" customFormat="1" ht="13.2"/>
    <row r="272" s="2" customFormat="1" ht="13.2"/>
    <row r="273" s="2" customFormat="1" ht="13.2"/>
    <row r="274" s="2" customFormat="1" ht="13.2"/>
    <row r="275" s="2" customFormat="1" ht="13.2"/>
    <row r="276" s="2" customFormat="1" ht="13.2"/>
    <row r="277" s="2" customFormat="1" ht="13.2"/>
    <row r="278" s="2" customFormat="1" ht="13.2"/>
    <row r="279" s="2" customFormat="1" ht="13.2"/>
    <row r="280" s="2" customFormat="1" ht="13.2"/>
    <row r="281" s="2" customFormat="1" ht="13.2"/>
    <row r="282" s="2" customFormat="1" ht="13.2"/>
    <row r="283" s="2" customFormat="1" ht="13.2"/>
    <row r="284" s="2" customFormat="1" ht="13.2"/>
    <row r="285" s="2" customFormat="1" ht="13.2"/>
    <row r="286" s="2" customFormat="1" ht="13.2"/>
    <row r="287" s="2" customFormat="1" ht="13.2"/>
    <row r="288" s="2" customFormat="1" ht="13.2"/>
    <row r="289" s="2" customFormat="1" ht="13.2"/>
    <row r="290" s="2" customFormat="1" ht="13.2"/>
    <row r="291" s="2" customFormat="1" ht="13.2"/>
    <row r="292" s="2" customFormat="1" ht="13.2"/>
    <row r="293" s="2" customFormat="1" ht="13.2"/>
    <row r="294" s="2" customFormat="1" ht="13.2"/>
    <row r="295" s="2" customFormat="1" ht="13.2"/>
    <row r="296" s="2" customFormat="1" ht="13.2"/>
    <row r="297" s="2" customFormat="1" ht="13.2"/>
    <row r="298" s="2" customFormat="1" ht="13.2"/>
    <row r="299" s="2" customFormat="1" ht="13.2"/>
    <row r="300" s="2" customFormat="1" ht="13.2"/>
    <row r="301" s="2" customFormat="1" ht="13.2"/>
    <row r="302" s="2" customFormat="1" ht="13.2"/>
    <row r="303" s="2" customFormat="1" ht="13.2"/>
    <row r="304" s="2" customFormat="1" ht="13.2"/>
    <row r="305" s="2" customFormat="1" ht="13.2"/>
    <row r="306" s="2" customFormat="1" ht="13.2"/>
    <row r="307" s="2" customFormat="1" ht="13.2"/>
    <row r="308" s="2" customFormat="1" ht="13.2"/>
    <row r="309" s="2" customFormat="1" ht="13.2"/>
    <row r="310" s="2" customFormat="1" ht="13.2"/>
    <row r="311" s="2" customFormat="1" ht="13.2"/>
    <row r="312" s="2" customFormat="1" ht="13.2"/>
    <row r="313" s="2" customFormat="1" ht="13.2"/>
    <row r="314" s="2" customFormat="1" ht="13.2"/>
    <row r="315" s="2" customFormat="1" ht="13.2"/>
    <row r="316" s="2" customFormat="1" ht="13.2"/>
    <row r="317" s="2" customFormat="1" ht="13.2"/>
    <row r="318" s="2" customFormat="1" ht="13.2"/>
    <row r="319" s="2" customFormat="1" ht="13.2"/>
    <row r="320" s="2" customFormat="1" ht="13.2"/>
    <row r="321" s="2" customFormat="1" ht="13.2"/>
    <row r="322" s="2" customFormat="1" ht="13.2"/>
    <row r="323" s="2" customFormat="1" ht="13.2"/>
    <row r="324" s="2" customFormat="1" ht="13.2"/>
    <row r="325" s="2" customFormat="1" ht="13.2"/>
    <row r="326" s="2" customFormat="1" ht="13.2"/>
    <row r="327" s="2" customFormat="1" ht="13.2"/>
    <row r="328" s="2" customFormat="1" ht="13.2"/>
    <row r="329" s="2" customFormat="1" ht="13.2"/>
    <row r="330" s="2" customFormat="1" ht="13.2"/>
    <row r="331" s="2" customFormat="1" ht="13.2"/>
    <row r="332" s="2" customFormat="1" ht="13.2"/>
    <row r="333" s="2" customFormat="1" ht="13.2"/>
    <row r="334" s="2" customFormat="1" ht="13.2"/>
    <row r="335" s="2" customFormat="1" ht="13.2"/>
    <row r="336" s="2" customFormat="1" ht="13.2"/>
    <row r="337" s="2" customFormat="1" ht="13.2"/>
    <row r="338" s="2" customFormat="1" ht="13.2"/>
    <row r="339" s="2" customFormat="1" ht="13.2"/>
    <row r="340" s="2" customFormat="1" ht="13.2"/>
    <row r="341" s="2" customFormat="1" ht="13.2"/>
    <row r="342" s="2" customFormat="1" ht="13.2"/>
    <row r="343" s="2" customFormat="1" ht="13.2"/>
    <row r="344" s="2" customFormat="1" ht="13.2"/>
    <row r="345" s="2" customFormat="1" ht="13.2"/>
    <row r="346" s="2" customFormat="1" ht="13.2"/>
    <row r="347" s="2" customFormat="1" ht="13.2"/>
    <row r="348" s="2" customFormat="1" ht="13.2"/>
    <row r="349" s="2" customFormat="1" ht="13.2"/>
    <row r="350" s="2" customFormat="1" ht="13.2"/>
    <row r="351" s="2" customFormat="1" ht="13.2"/>
    <row r="352" s="2" customFormat="1" ht="13.2"/>
    <row r="353" s="2" customFormat="1" ht="13.2"/>
    <row r="354" s="2" customFormat="1" ht="13.2"/>
    <row r="355" s="2" customFormat="1" ht="13.2"/>
    <row r="356" s="2" customFormat="1" ht="13.2"/>
    <row r="357" s="2" customFormat="1" ht="13.2"/>
  </sheetData>
  <mergeCells count="152">
    <mergeCell ref="O37:P37"/>
    <mergeCell ref="A1:U1"/>
    <mergeCell ref="B3:C3"/>
    <mergeCell ref="E3:F3"/>
    <mergeCell ref="G3:H3"/>
    <mergeCell ref="J3:K3"/>
    <mergeCell ref="S3:U3"/>
    <mergeCell ref="A4:A13"/>
    <mergeCell ref="B4:B10"/>
    <mergeCell ref="E4:F4"/>
    <mergeCell ref="G4:G10"/>
    <mergeCell ref="J4:K4"/>
    <mergeCell ref="E5:F5"/>
    <mergeCell ref="J5:K5"/>
    <mergeCell ref="E6:F6"/>
    <mergeCell ref="J6:K6"/>
    <mergeCell ref="E7:F7"/>
    <mergeCell ref="B11:B13"/>
    <mergeCell ref="E11:F11"/>
    <mergeCell ref="G11:G13"/>
    <mergeCell ref="J11:K11"/>
    <mergeCell ref="E12:F12"/>
    <mergeCell ref="E13:F13"/>
    <mergeCell ref="J13:K13"/>
    <mergeCell ref="J7:K7"/>
    <mergeCell ref="T15:U15"/>
    <mergeCell ref="A16:A25"/>
    <mergeCell ref="B16:B22"/>
    <mergeCell ref="E16:F16"/>
    <mergeCell ref="G16:G22"/>
    <mergeCell ref="J16:K16"/>
    <mergeCell ref="L16:L22"/>
    <mergeCell ref="Q16:Q22"/>
    <mergeCell ref="E17:F17"/>
    <mergeCell ref="B15:C15"/>
    <mergeCell ref="E15:F15"/>
    <mergeCell ref="G15:H15"/>
    <mergeCell ref="J15:K15"/>
    <mergeCell ref="L15:M15"/>
    <mergeCell ref="O15:P15"/>
    <mergeCell ref="B23:B25"/>
    <mergeCell ref="E23:F23"/>
    <mergeCell ref="J17:K17"/>
    <mergeCell ref="E18:F18"/>
    <mergeCell ref="J18:K18"/>
    <mergeCell ref="E19:F19"/>
    <mergeCell ref="J19:K19"/>
    <mergeCell ref="E20:F20"/>
    <mergeCell ref="J20:K20"/>
    <mergeCell ref="E8:F8"/>
    <mergeCell ref="J8:K8"/>
    <mergeCell ref="E9:F9"/>
    <mergeCell ref="J9:K9"/>
    <mergeCell ref="E10:F10"/>
    <mergeCell ref="J10:K10"/>
    <mergeCell ref="L23:L25"/>
    <mergeCell ref="Q23:Q25"/>
    <mergeCell ref="E24:F24"/>
    <mergeCell ref="J24:K24"/>
    <mergeCell ref="E25:F25"/>
    <mergeCell ref="J25:K25"/>
    <mergeCell ref="E21:F21"/>
    <mergeCell ref="J21:K21"/>
    <mergeCell ref="E22:F22"/>
    <mergeCell ref="J22:K22"/>
    <mergeCell ref="G23:G25"/>
    <mergeCell ref="J23:K23"/>
    <mergeCell ref="Q15:R15"/>
    <mergeCell ref="J12:K12"/>
    <mergeCell ref="A34:U34"/>
    <mergeCell ref="B36:C36"/>
    <mergeCell ref="E36:F36"/>
    <mergeCell ref="G36:H36"/>
    <mergeCell ref="J36:K36"/>
    <mergeCell ref="L36:M36"/>
    <mergeCell ref="O36:P36"/>
    <mergeCell ref="A27:H27"/>
    <mergeCell ref="Q27:R27"/>
    <mergeCell ref="A28:H28"/>
    <mergeCell ref="Q28:R28"/>
    <mergeCell ref="Q29:R29"/>
    <mergeCell ref="Q30:R30"/>
    <mergeCell ref="A37:A46"/>
    <mergeCell ref="B37:B43"/>
    <mergeCell ref="E37:F37"/>
    <mergeCell ref="G37:G43"/>
    <mergeCell ref="J37:K37"/>
    <mergeCell ref="L37:L43"/>
    <mergeCell ref="J38:K38"/>
    <mergeCell ref="E39:F39"/>
    <mergeCell ref="J39:K39"/>
    <mergeCell ref="J40:K40"/>
    <mergeCell ref="B44:B46"/>
    <mergeCell ref="E44:F44"/>
    <mergeCell ref="G44:G46"/>
    <mergeCell ref="J44:K44"/>
    <mergeCell ref="L44:L46"/>
    <mergeCell ref="E46:F46"/>
    <mergeCell ref="J46:K46"/>
    <mergeCell ref="E41:F41"/>
    <mergeCell ref="J41:K41"/>
    <mergeCell ref="E42:F42"/>
    <mergeCell ref="J42:K42"/>
    <mergeCell ref="E43:F43"/>
    <mergeCell ref="J43:K43"/>
    <mergeCell ref="T49:U49"/>
    <mergeCell ref="A50:A59"/>
    <mergeCell ref="B50:B56"/>
    <mergeCell ref="E50:F50"/>
    <mergeCell ref="G50:G56"/>
    <mergeCell ref="J50:K50"/>
    <mergeCell ref="L50:L56"/>
    <mergeCell ref="Q50:Q56"/>
    <mergeCell ref="E51:F51"/>
    <mergeCell ref="B49:C49"/>
    <mergeCell ref="E49:F49"/>
    <mergeCell ref="G49:H49"/>
    <mergeCell ref="J49:K49"/>
    <mergeCell ref="L49:M49"/>
    <mergeCell ref="O49:P49"/>
    <mergeCell ref="E55:F55"/>
    <mergeCell ref="J55:K55"/>
    <mergeCell ref="J56:K56"/>
    <mergeCell ref="B57:B59"/>
    <mergeCell ref="E57:F57"/>
    <mergeCell ref="G57:G59"/>
    <mergeCell ref="J57:K57"/>
    <mergeCell ref="J51:K51"/>
    <mergeCell ref="T56:U56"/>
    <mergeCell ref="O39:P39"/>
    <mergeCell ref="O42:P42"/>
    <mergeCell ref="B64:I64"/>
    <mergeCell ref="B65:I65"/>
    <mergeCell ref="J65:N65"/>
    <mergeCell ref="L57:L59"/>
    <mergeCell ref="Q57:Q59"/>
    <mergeCell ref="E58:F58"/>
    <mergeCell ref="J58:K58"/>
    <mergeCell ref="E59:F59"/>
    <mergeCell ref="J59:K59"/>
    <mergeCell ref="E52:F52"/>
    <mergeCell ref="J52:K52"/>
    <mergeCell ref="E53:F53"/>
    <mergeCell ref="J53:K53"/>
    <mergeCell ref="E54:F54"/>
    <mergeCell ref="J54:K54"/>
    <mergeCell ref="B61:I61"/>
    <mergeCell ref="B62:I62"/>
    <mergeCell ref="J62:N62"/>
    <mergeCell ref="Q49:R49"/>
    <mergeCell ref="O44:P44"/>
    <mergeCell ref="O40:P40"/>
  </mergeCells>
  <phoneticPr fontId="2"/>
  <pageMargins left="0.7" right="0.7" top="0.75" bottom="0.75" header="0.3" footer="0.3"/>
  <pageSetup paperSize="9" scale="3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enyu30</dc:creator>
  <cp:lastModifiedBy>enyu@dmds127825</cp:lastModifiedBy>
  <cp:lastPrinted>2026-06-12T06:39:19Z</cp:lastPrinted>
  <dcterms:created xsi:type="dcterms:W3CDTF">2015-06-05T18:19:34Z</dcterms:created>
  <dcterms:modified xsi:type="dcterms:W3CDTF">2026-07-02T06:45:58Z</dcterms:modified>
</cp:coreProperties>
</file>